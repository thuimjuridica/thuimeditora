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f7579f647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87e1fe76224b405d"/>
    <x:sheet xmlns:r="http://schemas.openxmlformats.org/officeDocument/2006/relationships" name="LISTAS" sheetId="2" r:id="R6fb2d3a1d4e34175"/>
    <x:sheet xmlns:r="http://schemas.openxmlformats.org/officeDocument/2006/relationships" name="TITULARES" sheetId="3" r:id="Rb597e15ebb384416"/>
    <x:sheet xmlns:r="http://schemas.openxmlformats.org/officeDocument/2006/relationships" name="OBRAS" sheetId="4" r:id="R8c492f7002a14068"/>
    <x:sheet xmlns:r="http://schemas.openxmlformats.org/officeDocument/2006/relationships" name="PARTICIPAÇÕES OBRA" sheetId="5" r:id="R3b63ec2ef6574891"/>
    <x:sheet xmlns:r="http://schemas.openxmlformats.org/officeDocument/2006/relationships" name="FONOGRAMAS" sheetId="6" r:id="R07ed11fb31b64ebc"/>
    <x:sheet xmlns:r="http://schemas.openxmlformats.org/officeDocument/2006/relationships" name="PARTICIPAÇÕES FONOGRAMA" sheetId="7" r:id="R4dc43174e938465d"/>
    <x:sheet xmlns:r="http://schemas.openxmlformats.org/officeDocument/2006/relationships" name="CONTRATOS &amp; DIREITOS" sheetId="8" r:id="R0f692a42f7f0437f"/>
    <x:sheet xmlns:r="http://schemas.openxmlformats.org/officeDocument/2006/relationships" name="RDx CONTROLE" sheetId="9" r:id="Rf4bd5ef75b04413e"/>
    <x:sheet xmlns:r="http://schemas.openxmlformats.org/officeDocument/2006/relationships" name="ROYALTIES &amp; AUDITORIA" sheetId="10" r:id="R7d6a29363e0946a2"/>
    <x:sheet xmlns:r="http://schemas.openxmlformats.org/officeDocument/2006/relationships" name="DASHBOARD" sheetId="11" r:id="R5596a23abe34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%"/>
    <x:numFmt numFmtId="202" formatCode="R$ #,##0.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F3B5A"/>
      <x:name val="Carlito"/>
    </x:font>
    <x:font>
      <x:b/>
      <x:sz val="12"/>
      <x:color rgb="FFFFFFFF"/>
      <x:name val="Carlito"/>
    </x:font>
    <x:font>
      <x:b/>
      <x:sz val="11"/>
      <x:color rgb="FF0F3B5A"/>
      <x:name val="Carlito"/>
    </x:font>
    <x:font>
      <x:sz val="10"/>
      <x:color rgb="FF5B6573"/>
      <x:name val="Carlito"/>
    </x:font>
    <x:font>
      <x:b/>
      <x:sz val="10"/>
      <x:color rgb="FFFFFFFF"/>
      <x:name val="Carlito"/>
    </x:font>
    <x:font>
      <x:sz val="11"/>
      <x:color rgb="FF1F1F1F"/>
      <x:name val="Carlito"/>
    </x:font>
    <x:font>
      <x:i/>
      <x:sz val="11"/>
      <x:color rgb="FF0F3B5A"/>
      <x:name val="Carlito"/>
    </x:font>
    <x:font>
      <x:b/>
      <x:sz val="13"/>
      <x:color rgb="FF0F3B5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3B5A"/>
      </x:patternFill>
    </x:fill>
    <x:fill>
      <x:patternFill patternType="solid">
        <x:fgColor rgb="FFD9EEF2"/>
      </x:patternFill>
    </x:fill>
    <x:fill>
      <x:patternFill patternType="solid">
        <x:fgColor rgb="FFF3F7FA"/>
      </x:patternFill>
    </x:fill>
    <x:fill>
      <x:patternFill patternType="solid">
        <x:fgColor rgb="FF007C91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8E1"/>
      </x:patternFill>
    </x:fill>
  </x:fills>
  <x:borders count="27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2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horizontal="left" vertical="center"/>
    </x:xf>
    <x:xf numFmtId="0" fontId="5" fillId="4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horizontal="left" vertical="center"/>
    </x:xf>
    <x:xf numFmtId="0" fontId="5" fillId="4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horizontal="left" vertical="center"/>
    </x:xf>
    <x:xf numFmtId="0" fontId="5" fillId="4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horizontal="left" vertical="center"/>
    </x:xf>
    <x:xf numFmtId="0" fontId="5" fillId="4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horizontal="left" vertical="center"/>
    </x:xf>
    <x:xf numFmtId="0" fontId="5" fillId="4" borderId="11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horizontal="left" vertical="center"/>
    </x:xf>
    <x:xf numFmtId="0" fontId="5" fillId="4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7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10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vertical="top" wrapText="1"/>
    </x:xf>
    <x:xf numFmtId="0" fontId="5" fillId="8" borderId="10" xfId="0" applyNumberFormat="1" applyFont="1" applyFill="1" applyBorder="1" applyAlignment="1">
      <x:alignment vertical="top" wrapText="1"/>
    </x:xf>
    <x:xf numFmtId="0" fontId="5" fillId="9" borderId="6" xfId="0" applyNumberFormat="1" applyFont="1" applyFill="1" applyBorder="1" applyAlignment="1">
      <x:alignment vertical="top" wrapText="1"/>
    </x:xf>
    <x:xf numFmtId="0" fontId="5" fillId="9" borderId="12" xfId="0" applyNumberFormat="1" applyFont="1" applyFill="1" applyBorder="1" applyAlignment="1">
      <x:alignment vertical="top" wrapText="1"/>
    </x:xf>
    <x:xf numFmtId="0" fontId="6" fillId="5" borderId="18" xfId="0" applyNumberFormat="1" applyFont="1" applyFill="1" applyBorder="1" applyAlignment="1">
      <x:alignment horizontal="center" vertical="center" wrapText="1"/>
    </x:xf>
    <x:xf numFmtId="0" fontId="5" fillId="4" borderId="19" xfId="0" applyNumberFormat="1" applyFont="1" applyFill="1" applyBorder="1" applyAlignment="1">
      <x:alignment vertical="top" wrapText="1"/>
    </x:xf>
    <x:xf numFmtId="0" fontId="5" fillId="4" borderId="20" xfId="0" applyNumberFormat="1" applyFont="1" applyFill="1" applyBorder="1" applyAlignment="1">
      <x:alignment vertical="top" wrapText="1"/>
    </x:xf>
    <x:xf numFmtId="0" fontId="6" fillId="5" borderId="21" xfId="0" applyNumberFormat="1" applyFont="1" applyFill="1" applyBorder="1" applyAlignment="1">
      <x:alignment horizontal="center" vertical="center" wrapText="1"/>
    </x:xf>
    <x:xf numFmtId="0" fontId="5" fillId="4" borderId="22" xfId="0" applyNumberFormat="1" applyFont="1" applyFill="1" applyBorder="1" applyAlignment="1">
      <x:alignment vertical="top" wrapText="1"/>
    </x:xf>
    <x:xf numFmtId="0" fontId="5" fillId="4" borderId="2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8" xfId="0" applyNumberFormat="1" applyFont="1" applyFill="1" applyBorder="1" applyAlignment="1">
      <x:alignment vertical="center" wrapText="1"/>
    </x:xf>
    <x:xf numFmtId="0" fontId="7" fillId="6" borderId="19" xfId="0" applyNumberFormat="1" applyFont="1" applyFill="1" applyBorder="1" applyAlignment="1">
      <x:alignment vertical="center" wrapText="1"/>
    </x:xf>
    <x:xf numFmtId="0" fontId="7" fillId="6" borderId="20" xfId="0" applyNumberFormat="1" applyFont="1" applyFill="1" applyBorder="1" applyAlignment="1">
      <x:alignment vertical="center" wrapText="1"/>
    </x:xf>
    <x:xf numFmtId="0" fontId="7" fillId="6" borderId="21" xfId="0" applyNumberFormat="1" applyFont="1" applyFill="1" applyBorder="1" applyAlignment="1">
      <x:alignment vertical="center" wrapText="1"/>
    </x:xf>
    <x:xf numFmtId="0" fontId="7" fillId="6" borderId="22" xfId="0" applyNumberFormat="1" applyFont="1" applyFill="1" applyBorder="1" applyAlignment="1">
      <x:alignment vertical="center" wrapText="1"/>
    </x:xf>
    <x:xf numFmtId="0" fontId="7" fillId="6" borderId="23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5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0" fontId="8" fillId="7" borderId="19" xfId="0" applyNumberFormat="1" applyFont="1" applyFill="1" applyBorder="1" applyAlignment="1">
      <x:alignment vertical="center" wrapText="1"/>
    </x:xf>
    <x:xf numFmtId="0" fontId="8" fillId="7" borderId="20" xfId="0" applyNumberFormat="1" applyFont="1" applyFill="1" applyBorder="1" applyAlignment="1">
      <x:alignment vertical="center" wrapText="1"/>
    </x:xf>
    <x:xf numFmtId="0" fontId="8" fillId="7" borderId="21" xfId="0" applyNumberFormat="1" applyFont="1" applyFill="1" applyBorder="1" applyAlignment="1">
      <x:alignment vertical="center" wrapText="1"/>
    </x:xf>
    <x:xf numFmtId="0" fontId="8" fillId="7" borderId="22" xfId="0" applyNumberFormat="1" applyFont="1" applyFill="1" applyBorder="1" applyAlignment="1">
      <x:alignment vertical="center" wrapText="1"/>
    </x:xf>
    <x:xf numFmtId="0" fontId="8" fillId="7" borderId="23" xfId="0" applyNumberFormat="1" applyFont="1" applyFill="1" applyBorder="1" applyAlignment="1">
      <x:alignment vertical="center" wrapText="1"/>
    </x:xf>
    <x:xf numFmtId="200" fontId="7" fillId="6" borderId="18" xfId="0" applyNumberFormat="1" applyFont="1" applyFill="1" applyBorder="1" applyAlignment="1">
      <x:alignment vertical="center" wrapText="1"/>
    </x:xf>
    <x:xf numFmtId="200" fontId="7" fillId="6" borderId="19" xfId="0" applyNumberFormat="1" applyFont="1" applyFill="1" applyBorder="1" applyAlignment="1">
      <x:alignment vertical="center" wrapText="1"/>
    </x:xf>
    <x:xf numFmtId="200" fontId="7" fillId="6" borderId="20" xfId="0" applyNumberFormat="1" applyFont="1" applyFill="1" applyBorder="1" applyAlignment="1">
      <x:alignment vertical="center" wrapText="1"/>
    </x:xf>
    <x:xf numFmtId="200" fontId="7" fillId="6" borderId="21" xfId="0" applyNumberFormat="1" applyFont="1" applyFill="1" applyBorder="1" applyAlignment="1">
      <x:alignment vertical="center" wrapText="1"/>
    </x:xf>
    <x:xf numFmtId="200" fontId="7" fillId="6" borderId="22" xfId="0" applyNumberFormat="1" applyFont="1" applyFill="1" applyBorder="1" applyAlignment="1">
      <x:alignment vertical="center" wrapText="1"/>
    </x:xf>
    <x:xf numFmtId="200" fontId="7" fillId="6" borderId="23" xfId="0" applyNumberFormat="1" applyFont="1" applyFill="1" applyBorder="1" applyAlignment="1">
      <x:alignment vertical="center" wrapText="1"/>
    </x:xf>
    <x:xf numFmtId="201" fontId="8" fillId="7" borderId="18" xfId="0" applyNumberFormat="1" applyFont="1" applyFill="1" applyBorder="1" applyAlignment="1">
      <x:alignment vertical="center" wrapText="1"/>
    </x:xf>
    <x:xf numFmtId="201" fontId="8" fillId="7" borderId="19" xfId="0" applyNumberFormat="1" applyFont="1" applyFill="1" applyBorder="1" applyAlignment="1">
      <x:alignment vertical="center" wrapText="1"/>
    </x:xf>
    <x:xf numFmtId="201" fontId="8" fillId="7" borderId="20" xfId="0" applyNumberFormat="1" applyFont="1" applyFill="1" applyBorder="1" applyAlignment="1">
      <x:alignment vertical="center" wrapText="1"/>
    </x:xf>
    <x:xf numFmtId="201" fontId="8" fillId="7" borderId="21" xfId="0" applyNumberFormat="1" applyFont="1" applyFill="1" applyBorder="1" applyAlignment="1">
      <x:alignment vertical="center" wrapText="1"/>
    </x:xf>
    <x:xf numFmtId="201" fontId="8" fillId="7" borderId="22" xfId="0" applyNumberFormat="1" applyFont="1" applyFill="1" applyBorder="1" applyAlignment="1">
      <x:alignment vertical="center" wrapText="1"/>
    </x:xf>
    <x:xf numFmtId="201" fontId="8" fillId="7" borderId="23" xfId="0" applyNumberFormat="1" applyFont="1" applyFill="1" applyBorder="1" applyAlignment="1">
      <x:alignment vertical="center" wrapText="1"/>
    </x:xf>
    <x:xf numFmtId="201" fontId="7" fillId="6" borderId="18" xfId="0" applyNumberFormat="1" applyFont="1" applyFill="1" applyBorder="1" applyAlignment="1">
      <x:alignment vertical="center" wrapText="1"/>
    </x:xf>
    <x:xf numFmtId="201" fontId="7" fillId="6" borderId="19" xfId="0" applyNumberFormat="1" applyFont="1" applyFill="1" applyBorder="1" applyAlignment="1">
      <x:alignment vertical="center" wrapText="1"/>
    </x:xf>
    <x:xf numFmtId="201" fontId="7" fillId="6" borderId="20" xfId="0" applyNumberFormat="1" applyFont="1" applyFill="1" applyBorder="1" applyAlignment="1">
      <x:alignment vertical="center" wrapText="1"/>
    </x:xf>
    <x:xf numFmtId="201" fontId="7" fillId="6" borderId="21" xfId="0" applyNumberFormat="1" applyFont="1" applyFill="1" applyBorder="1" applyAlignment="1">
      <x:alignment vertical="center" wrapText="1"/>
    </x:xf>
    <x:xf numFmtId="201" fontId="7" fillId="6" borderId="22" xfId="0" applyNumberFormat="1" applyFont="1" applyFill="1" applyBorder="1" applyAlignment="1">
      <x:alignment vertical="center" wrapText="1"/>
    </x:xf>
    <x:xf numFmtId="201" fontId="7" fillId="6" borderId="23" xfId="0" applyNumberFormat="1" applyFont="1" applyFill="1" applyBorder="1" applyAlignment="1">
      <x:alignment vertical="center" wrapText="1"/>
    </x:xf>
    <x:xf numFmtId="202" fontId="7" fillId="6" borderId="18" xfId="0" applyNumberFormat="1" applyFont="1" applyFill="1" applyBorder="1" applyAlignment="1">
      <x:alignment vertical="center" wrapText="1"/>
    </x:xf>
    <x:xf numFmtId="202" fontId="7" fillId="6" borderId="19" xfId="0" applyNumberFormat="1" applyFont="1" applyFill="1" applyBorder="1" applyAlignment="1">
      <x:alignment vertical="center" wrapText="1"/>
    </x:xf>
    <x:xf numFmtId="202" fontId="7" fillId="6" borderId="20" xfId="0" applyNumberFormat="1" applyFont="1" applyFill="1" applyBorder="1" applyAlignment="1">
      <x:alignment vertical="center" wrapText="1"/>
    </x:xf>
    <x:xf numFmtId="202" fontId="7" fillId="6" borderId="21" xfId="0" applyNumberFormat="1" applyFont="1" applyFill="1" applyBorder="1" applyAlignment="1">
      <x:alignment vertical="center" wrapText="1"/>
    </x:xf>
    <x:xf numFmtId="202" fontId="7" fillId="6" borderId="22" xfId="0" applyNumberFormat="1" applyFont="1" applyFill="1" applyBorder="1" applyAlignment="1">
      <x:alignment vertical="center" wrapText="1"/>
    </x:xf>
    <x:xf numFmtId="202" fontId="7" fillId="6" borderId="23" xfId="0" applyNumberFormat="1" applyFont="1" applyFill="1" applyBorder="1" applyAlignment="1">
      <x:alignment vertical="center" wrapText="1"/>
    </x:xf>
    <x:xf numFmtId="202" fontId="8" fillId="7" borderId="18" xfId="0" applyNumberFormat="1" applyFont="1" applyFill="1" applyBorder="1" applyAlignment="1">
      <x:alignment vertical="center" wrapText="1"/>
    </x:xf>
    <x:xf numFmtId="202" fontId="8" fillId="7" borderId="19" xfId="0" applyNumberFormat="1" applyFont="1" applyFill="1" applyBorder="1" applyAlignment="1">
      <x:alignment vertical="center" wrapText="1"/>
    </x:xf>
    <x:xf numFmtId="202" fontId="8" fillId="7" borderId="20" xfId="0" applyNumberFormat="1" applyFont="1" applyFill="1" applyBorder="1" applyAlignment="1">
      <x:alignment vertical="center" wrapText="1"/>
    </x:xf>
    <x:xf numFmtId="202" fontId="8" fillId="7" borderId="21" xfId="0" applyNumberFormat="1" applyFont="1" applyFill="1" applyBorder="1" applyAlignment="1">
      <x:alignment vertical="center" wrapText="1"/>
    </x:xf>
    <x:xf numFmtId="202" fontId="8" fillId="7" borderId="22" xfId="0" applyNumberFormat="1" applyFont="1" applyFill="1" applyBorder="1" applyAlignment="1">
      <x:alignment vertical="center" wrapText="1"/>
    </x:xf>
    <x:xf numFmtId="202" fontId="8" fillId="7" borderId="2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/>
    </x:xf>
    <x:xf numFmtId="0" fontId="9" fillId="7" borderId="14" xfId="0" applyNumberFormat="1" applyFont="1" applyFill="1" applyBorder="1" applyAlignment="1">
      <x:alignment horizontal="center" vertical="center"/>
    </x:xf>
    <x:xf numFmtId="0" fontId="9" fillId="7" borderId="15" xfId="0" applyNumberFormat="1" applyFont="1" applyFill="1" applyBorder="1" applyAlignment="1">
      <x:alignment horizontal="center" vertical="center"/>
    </x:xf>
    <x:xf numFmtId="0" fontId="9" fillId="7" borderId="16" xfId="0" applyNumberFormat="1" applyFont="1" applyFill="1" applyBorder="1" applyAlignment="1">
      <x:alignment horizontal="center" vertical="center"/>
    </x:xf>
    <x:xf numFmtId="0" fontId="9" fillId="7" borderId="17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/>
    </x:xf>
    <x:xf numFmtId="0" fontId="4" fillId="7" borderId="5" xfId="0" applyNumberFormat="1" applyFont="1" applyFill="1" applyBorder="1" applyAlignment="1">
      <x:alignment horizontal="center"/>
    </x:xf>
    <x:xf numFmtId="0" fontId="4" fillId="7" borderId="7" xfId="0" applyNumberFormat="1" applyFont="1" applyFill="1" applyBorder="1" applyAlignment="1">
      <x:alignment horizontal="center"/>
    </x:xf>
    <x:xf numFmtId="0" fontId="4" fillId="7" borderId="9" xfId="0" applyNumberFormat="1" applyFont="1" applyFill="1" applyBorder="1" applyAlignment="1">
      <x:alignment horizontal="center"/>
    </x:xf>
    <x:xf numFmtId="0" fontId="4" fillId="7" borderId="11" xfId="0" applyNumberFormat="1" applyFont="1" applyFill="1" applyBorder="1" applyAlignment="1">
      <x:alignment horizontal="center"/>
    </x:xf>
    <x:xf numFmtId="0" fontId="4" fillId="7" borderId="13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5" fillId="1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</x:cellXfs>
  <x:cellStyles count="1">
    <x:cellStyle name="Normal" xfId="0"/>
  </x:cellStyles>
  <x:dxfs count="1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5e9f0870b4108" /><Relationship Type="http://schemas.openxmlformats.org/officeDocument/2006/relationships/theme" Target="/xl/theme/theme1.xml" Id="Rba4f52ebfbfc4369" /><Relationship Type="http://schemas.openxmlformats.org/officeDocument/2006/relationships/sharedStrings" Target="/xl/sharedStrings.xml" Id="R807a252464474a13" /><Relationship Type="http://schemas.openxmlformats.org/officeDocument/2006/relationships/worksheet" Target="/xl/worksheets/sheet1.xml" Id="R87e1fe76224b405d" /><Relationship Type="http://schemas.openxmlformats.org/officeDocument/2006/relationships/worksheet" Target="/xl/worksheets/sheet2.xml" Id="R6fb2d3a1d4e34175" /><Relationship Type="http://schemas.openxmlformats.org/officeDocument/2006/relationships/worksheet" Target="/xl/worksheets/sheet3.xml" Id="Rb597e15ebb384416" /><Relationship Type="http://schemas.openxmlformats.org/officeDocument/2006/relationships/worksheet" Target="/xl/worksheets/sheet4.xml" Id="R8c492f7002a14068" /><Relationship Type="http://schemas.openxmlformats.org/officeDocument/2006/relationships/worksheet" Target="/xl/worksheets/sheet5.xml" Id="R3b63ec2ef6574891" /><Relationship Type="http://schemas.openxmlformats.org/officeDocument/2006/relationships/worksheet" Target="/xl/worksheets/sheet6.xml" Id="R07ed11fb31b64ebc" /><Relationship Type="http://schemas.openxmlformats.org/officeDocument/2006/relationships/worksheet" Target="/xl/worksheets/sheet7.xml" Id="R4dc43174e938465d" /><Relationship Type="http://schemas.openxmlformats.org/officeDocument/2006/relationships/worksheet" Target="/xl/worksheets/sheet8.xml" Id="R0f692a42f7f0437f" /><Relationship Type="http://schemas.openxmlformats.org/officeDocument/2006/relationships/worksheet" Target="/xl/worksheets/sheet9.xml" Id="Rf4bd5ef75b04413e" /><Relationship Type="http://schemas.openxmlformats.org/officeDocument/2006/relationships/worksheet" Target="/xl/worksheets/sheet10.xml" Id="R7d6a29363e0946a2" /><Relationship Type="http://schemas.openxmlformats.org/officeDocument/2006/relationships/worksheet" Target="/xl/worksheets/sheet11.xml" Id="R5596a23abe3440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6e475875b84b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Situação dos Fonogramas na RDx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'DASHBOARD'!$A$16:$A$22</c:f>
              <c:strCache>
                <c:ptCount val="0"/>
              </c:strCache>
            </c:strRef>
          </c:cat>
          <c:val>
            <c:numRef>
              <c:f>'DASHBOARD'!$B$16:$B$22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6e475875b84b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tularesTable" displayName="TitularesTable" ref="A4:N254" headerRowCount="1">
  <x:tableColumns count="14">
    <x:tableColumn id="1" name="ID Titular"/>
    <x:tableColumn id="2" name="Tipo"/>
    <x:tableColumn id="3" name="Nome Legal / Razão Social"/>
    <x:tableColumn id="4" name="Nome Artístico / Pseudônimo"/>
    <x:tableColumn id="5" name="Categoria Principal"/>
    <x:tableColumn id="6" name="CPF/CNPJ"/>
    <x:tableColumn id="7" name="CAE/IPI"/>
    <x:tableColumn id="8" name="Associação / PRO"/>
    <x:tableColumn id="9" name="Código de Associação"/>
    <x:tableColumn id="10" name="País"/>
    <x:tableColumn id="11" name="E-mail"/>
    <x:tableColumn id="12" name="Telefone"/>
    <x:tableColumn id="13" name="Status"/>
    <x:tableColumn id="14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2" name="ObrasTable" displayName="ObrasTable" ref="A4:P254" headerRowCount="1">
  <x:tableColumns count="16">
    <x:tableColumn id="1" name="ID Obra"/>
    <x:tableColumn id="2" name="Título da Obra"/>
    <x:tableColumn id="3" name="Subtítulo"/>
    <x:tableColumn id="4" name="ISWC"/>
    <x:tableColumn id="5" name="Tipo da Obra"/>
    <x:tableColumn id="6" name="Idioma"/>
    <x:tableColumn id="7" name="Data de Composição"/>
    <x:tableColumn id="8" name="Status Ecad"/>
    <x:tableColumn id="9" name="Status Editora"/>
    <x:tableColumn id="10" name="Editora / Administradora"/>
    <x:tableColumn id="11" name="Subeditora"/>
    <x:tableColumn id="12" name="Prazo / Termo de Edição"/>
    <x:tableColumn id="13" name="Link / Referência"/>
    <x:tableColumn id="14" name="Total de Autoria"/>
    <x:tableColumn id="15" name="Validação do Split"/>
    <x:tableColumn id="16" name="Observações"/>
  </x:tableColumns>
  <x:tableStyleInfo name="TableStyleMedium2" showRowStripes="1"/>
</x:table>
</file>

<file path=xl/tables/table3.xml><?xml version="1.0" encoding="utf-8"?>
<x:table xmlns:x="http://schemas.openxmlformats.org/spreadsheetml/2006/main" id="3" name="ParticipacoesObraTable" displayName="ParticipacoesObraTable" ref="A4:L254" headerRowCount="1">
  <x:tableColumns count="12">
    <x:tableColumn id="1" name="ID Obra"/>
    <x:tableColumn id="2" name="Título da Obra"/>
    <x:tableColumn id="3" name="ID Titular"/>
    <x:tableColumn id="4" name="Nome / Pseudônimo"/>
    <x:tableColumn id="5" name="Categoria"/>
    <x:tableColumn id="6" name="% Participação"/>
    <x:tableColumn id="7" name="Território"/>
    <x:tableColumn id="8" name="Início do Mandato"/>
    <x:tableColumn id="9" name="Fim do Mandato"/>
    <x:tableColumn id="10" name="Link / Contrato"/>
    <x:tableColumn id="11" name="Status"/>
    <x:tableColumn id="12" name="Observações"/>
  </x:tableColumns>
  <x:tableStyleInfo name="TableStyleMedium2" showRowStripes="1"/>
</x:table>
</file>

<file path=xl/tables/table4.xml><?xml version="1.0" encoding="utf-8"?>
<x:table xmlns:x="http://schemas.openxmlformats.org/spreadsheetml/2006/main" id="4" name="FonogramasTable" displayName="FonogramasTable" ref="A4:AG254" headerRowCount="1">
  <x:tableColumns count="33">
    <x:tableColumn id="1" name="ID Fonograma"/>
    <x:tableColumn id="2" name="ISRC"/>
    <x:tableColumn id="3" name="GRA"/>
    <x:tableColumn id="4" name="Título do Fonograma"/>
    <x:tableColumn id="5" name="Versão"/>
    <x:tableColumn id="6" name="ID Obra Principal"/>
    <x:tableColumn id="7" name="Título da Obra"/>
    <x:tableColumn id="8" name="Artista Principal"/>
    <x:tableColumn id="9" name="Coletivo / Banda"/>
    <x:tableColumn id="10" name="País de Origem"/>
    <x:tableColumn id="11" name="País de Publicação"/>
    <x:tableColumn id="12" name="Nacional / Estrangeiro"/>
    <x:tableColumn id="13" name="Data de Gravação"/>
    <x:tableColumn id="14" name="Data de Lançamento"/>
    <x:tableColumn id="15" name="UPC/EAN"/>
    <x:tableColumn id="16" name="Release"/>
    <x:tableColumn id="17" name="Selo / Label"/>
    <x:tableColumn id="18" name="Produtor Fonográfico Original"/>
    <x:tableColumn id="19" name="Produtor Licenciado"/>
    <x:tableColumn id="20" name="Produtor Licenciante"/>
    <x:tableColumn id="21" name="Titular do Master"/>
    <x:tableColumn id="22" name="% Master Controlado pela Thuim"/>
    <x:tableColumn id="23" name="Território"/>
    <x:tableColumn id="24" name="Início de Vigência"/>
    <x:tableColumn id="25" name="Fim de Vigência"/>
    <x:tableColumn id="26" name="Distribuidora"/>
    <x:tableColumn id="27" name="Situação RDx"/>
    <x:tableColumn id="28" name="Completude RDx"/>
    <x:tableColumn id="29" name="Total Participações Conexas"/>
    <x:tableColumn id="30" name="Validação Conexos"/>
    <x:tableColumn id="31" name="Status Ecad"/>
    <x:tableColumn id="32" name="Link Material / Contrato"/>
    <x:tableColumn id="33" name="Observações"/>
  </x:tableColumns>
  <x:tableStyleInfo name="TableStyleMedium2" showRowStripes="1"/>
</x:table>
</file>

<file path=xl/tables/table5.xml><?xml version="1.0" encoding="utf-8"?>
<x:table xmlns:x="http://schemas.openxmlformats.org/spreadsheetml/2006/main" id="5" name="ParticipacoesFonogramaTable" displayName="ParticipacoesFonogramaTable" ref="A4:P254" headerRowCount="1">
  <x:tableColumns count="16">
    <x:tableColumn id="1" name="ID Fonograma"/>
    <x:tableColumn id="2" name="ISRC"/>
    <x:tableColumn id="3" name="ID Titular"/>
    <x:tableColumn id="4" name="Nome / Pseudônimo"/>
    <x:tableColumn id="5" name="Categoria Conexa"/>
    <x:tableColumn id="6" name="Função / Instrumento"/>
    <x:tableColumn id="7" name="Associação"/>
    <x:tableColumn id="8" name="CAE / IPI / Party ID"/>
    <x:tableColumn id="9" name="% Participação Cadastral"/>
    <x:tableColumn id="10" name="% Split Contratual Interno"/>
    <x:tableColumn id="11" name="Território"/>
    <x:tableColumn id="12" name="Início Vigência"/>
    <x:tableColumn id="13" name="Fim Vigência"/>
    <x:tableColumn id="14" name="Comprovante / Contrato"/>
    <x:tableColumn id="15" name="Status"/>
    <x:tableColumn id="16" name="Observações"/>
  </x:tableColumns>
  <x:tableStyleInfo name="TableStyleMedium2" showRowStripes="1"/>
</x:table>
</file>

<file path=xl/tables/table6.xml><?xml version="1.0" encoding="utf-8"?>
<x:table xmlns:x="http://schemas.openxmlformats.org/spreadsheetml/2006/main" id="6" name="ContratosTable" displayName="ContratosTable" ref="A4:O254" headerRowCount="1">
  <x:tableColumns count="15">
    <x:tableColumn id="1" name="ID Contrato"/>
    <x:tableColumn id="2" name="Tipo de Contrato"/>
    <x:tableColumn id="3" name="Objeto"/>
    <x:tableColumn id="4" name="ID Obra/Fonograma"/>
    <x:tableColumn id="5" name="Título / ISRC"/>
    <x:tableColumn id="6" name="Parte 1"/>
    <x:tableColumn id="7" name="Parte 2"/>
    <x:tableColumn id="8" name="Escopo de Direitos"/>
    <x:tableColumn id="9" name="Território"/>
    <x:tableColumn id="10" name="Data Assinatura"/>
    <x:tableColumn id="11" name="Início"/>
    <x:tableColumn id="12" name="Término"/>
    <x:tableColumn id="13" name="Status Calculado"/>
    <x:tableColumn id="14" name="Link do Arquivo"/>
    <x:tableColumn id="15" name="Observações"/>
  </x:tableColumns>
  <x:tableStyleInfo name="TableStyleMedium2" showRowStripes="1"/>
</x:table>
</file>

<file path=xl/tables/table7.xml><?xml version="1.0" encoding="utf-8"?>
<x:table xmlns:x="http://schemas.openxmlformats.org/spreadsheetml/2006/main" id="7" name="RdxControleTable" displayName="RdxControleTable" ref="A4:T254" headerRowCount="1">
  <x:tableColumns count="20">
    <x:tableColumn id="1" name="ID Fonograma"/>
    <x:tableColumn id="2" name="ISRC"/>
    <x:tableColumn id="3" name="Título"/>
    <x:tableColumn id="4" name="RightsController"/>
    <x:tableColumn id="5" name="Data Source"/>
    <x:tableColumn id="6" name="Mandatos Confirmados?"/>
    <x:tableColumn id="7" name="Dados DDEX Core?"/>
    <x:tableColumn id="8" name="Dados DDEX Recomendados?"/>
    <x:tableColumn id="9" name="Party IDs / Identificadores?"/>
    <x:tableColumn id="10" name="Teste Técnico Concluído?"/>
    <x:tableColumn id="11" name="Ambiente"/>
    <x:tableColumn id="12" name="Data do Primeiro Envio"/>
    <x:tableColumn id="13" name="Último Retorno"/>
    <x:tableColumn id="14" name="Status do Retorno"/>
    <x:tableColumn id="15" name="Ação Pendente"/>
    <x:tableColumn id="16" name="Responsável"/>
    <x:tableColumn id="17" name="Prazo"/>
    <x:tableColumn id="18" name="Conclusão"/>
    <x:tableColumn id="19" name="Prontidão"/>
    <x:tableColumn id="20" name="Observações"/>
  </x:tableColumns>
  <x:tableStyleInfo name="TableStyleMedium2" showRowStripes="1"/>
</x:table>
</file>

<file path=xl/tables/table8.xml><?xml version="1.0" encoding="utf-8"?>
<x:table xmlns:x="http://schemas.openxmlformats.org/spreadsheetml/2006/main" id="8" name="RoyaltiesTable" displayName="RoyaltiesTable" ref="A4:W254" headerRowCount="1">
  <x:tableColumns count="23">
    <x:tableColumn id="1" name="Competência"/>
    <x:tableColumn id="2" name="Data do Reporte"/>
    <x:tableColumn id="3" name="Plataforma / Entidade"/>
    <x:tableColumn id="4" name="Fonte de Receita"/>
    <x:tableColumn id="5" name="Território"/>
    <x:tableColumn id="6" name="ID Fonograma"/>
    <x:tableColumn id="7" name="ISRC"/>
    <x:tableColumn id="8" name="ID Obra"/>
    <x:tableColumn id="9" name="ISWC"/>
    <x:tableColumn id="10" name="Título"/>
    <x:tableColumn id="11" name="Artista / Autor"/>
    <x:tableColumn id="12" name="Quantidade de Usos"/>
    <x:tableColumn id="13" name="Receita Bruta"/>
    <x:tableColumn id="14" name="Deduções"/>
    <x:tableColumn id="15" name="Receita Líquida"/>
    <x:tableColumn id="16" name="% Thuim"/>
    <x:tableColumn id="17" name="Valor Devido à Thuim"/>
    <x:tableColumn id="18" name="Valor Recebido"/>
    <x:tableColumn id="19" name="Diferença"/>
    <x:tableColumn id="20" name="Data Pagamento"/>
    <x:tableColumn id="21" name="Status de Conciliação"/>
    <x:tableColumn id="22" name="Link Extrato / Report"/>
    <x:tableColumn id="23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2603e9d4b0641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17d38a1cea348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c60874a103f4c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96cd61994e243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359a7c3faca4c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602857a0a4042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c2f19f3a2c84e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ce65e15cd7f48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1b0362c31146ab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8" hidden="0" customWidth="1"/>
    <x:col min="3" max="3" width="38" hidden="0" customWidth="1"/>
  </x:cols>
  <x:sheetData>
    <x:row r="1" ht="30" customHeight="1">
      <x:c r="A1" s="5" t="str">
        <x:v>PLANILHA-MESTRE THUIM — CATÁLOGO, RDx E AUDITORIA DE ROYALTIES</x:v>
      </x:c>
    </x:row>
    <x:row r="2" ht="34" customHeight="1">
      <x:c r="A2" s="14" t="str">
        <x:v>Modelo de cadastro unificado para obras, fonogramas, contratos, dados de direitos conexos, onboarding RDx e conferência de recebimentos.</x:v>
      </x:c>
    </x:row>
    <x:row r="4" ht="22" customHeight="1">
      <x:c r="A4" s="22" t="str">
        <x:v>COMO UTILIZAR A PLANILHA</x:v>
      </x:c>
    </x:row>
    <x:row r="5" ht="34" customHeight="1">
      <x:c r="A5" s="40" t="str">
        <x:v>1</x:v>
      </x:c>
      <x:c r="B5" s="41" t="str">
        <x:v>Cadastre cada pessoa física ou jurídica em TITULARES antes de inserir participações.</x:v>
      </x:c>
    </x:row>
    <x:row r="6" ht="34" customHeight="1">
      <x:c r="A6" s="42" t="str">
        <x:v>2</x:v>
      </x:c>
      <x:c r="B6" s="43" t="str">
        <x:v>Cadastre as obras em OBRAS e informe todos os autores, editores e demais participantes em PARTICIPAÇÕES OBRA. A planilha valida se o total informado chega a 100%.</x:v>
      </x:c>
    </x:row>
    <x:row r="7" ht="34" customHeight="1">
      <x:c r="A7" s="42" t="str">
        <x:v>3</x:v>
      </x:c>
      <x:c r="B7" s="43" t="str">
        <x:v>Cadastre cada gravação em FONOGRAMAS e descreva os titulares conexos em PARTICIPAÇÕES FONOGRAMA. O ISRC deve identificar cada fonograma individualmente.</x:v>
      </x:c>
    </x:row>
    <x:row r="8" ht="34" customHeight="1">
      <x:c r="A8" s="42" t="str">
        <x:v>4</x:v>
      </x:c>
      <x:c r="B8" s="43" t="str">
        <x:v>Registre contratos, cessões, licenças e documentos de suporte em CONTRATOS &amp; DIREITOS, sempre com link para a pasta/arquivo correspondente.</x:v>
      </x:c>
    </x:row>
    <x:row r="9" ht="34" customHeight="1">
      <x:c r="A9" s="42" t="str">
        <x:v>5</x:v>
      </x:c>
      <x:c r="B9" s="43" t="str">
        <x:v>Use RDx CONTROLE para acompanhar preparação, Data Source, testes, mensagens de retorno, conflitos e entrada em produção.</x:v>
      </x:c>
    </x:row>
    <x:row r="10" ht="34" customHeight="1">
      <x:c r="A10" s="44" t="str">
        <x:v>6</x:v>
      </x:c>
      <x:c r="B10" s="45" t="str">
        <x:v>Use ROYALTIES &amp; AUDITORIA para importar os extratos de distribuidoras, plataformas, Ecad/Abramus, editoras, PROs e demais fontes; concilie o devido com o recebido.</x:v>
      </x:c>
    </x:row>
    <x:row r="12" ht="22" customHeight="1">
      <x:c r="A12" s="22" t="str">
        <x:v>LEGENDA OPERACIONAL</x:v>
      </x:c>
    </x:row>
    <x:row r="13">
      <x:c r="A13" s="62" t="str">
        <x:v>Cor</x:v>
      </x:c>
      <x:c r="B13" s="63" t="str">
        <x:v>Uso</x:v>
      </x:c>
      <x:c r="C13" s="64" t="str">
        <x:v>Orientação</x:v>
      </x:c>
    </x:row>
    <x:row r="14">
      <x:c r="A14" s="74" t="str">
        <x:v>Amarelo</x:v>
      </x:c>
      <x:c r="B14" s="35" t="str">
        <x:v>Campo de preenchimento manual</x:v>
      </x:c>
      <x:c r="C14" s="43" t="str">
        <x:v>Digite, cole ou importe dados; preserve a padronização dos identificadores.</x:v>
      </x:c>
    </x:row>
    <x:row r="15">
      <x:c r="A15" s="76" t="str">
        <x:v>Azul-claro</x:v>
      </x:c>
      <x:c r="B15" s="35" t="str">
        <x:v>Campo calculado</x:v>
      </x:c>
      <x:c r="C15" s="43" t="str">
        <x:v>Contém fórmula de conferência; não substitua a fórmula por texto manual.</x:v>
      </x:c>
    </x:row>
    <x:row r="16">
      <x:c r="A16" s="78" t="str">
        <x:v>Verde</x:v>
      </x:c>
      <x:c r="B16" s="35" t="str">
        <x:v>Indicador favorável</x:v>
      </x:c>
      <x:c r="C16" s="43" t="str">
        <x:v>Use como referência para item completo, liberado ou conciliado.</x:v>
      </x:c>
    </x:row>
    <x:row r="17">
      <x:c r="A17" s="80" t="str">
        <x:v>Vermelho</x:v>
      </x:c>
      <x:c r="B17" s="67" t="str">
        <x:v>Alerta/pendência</x:v>
      </x:c>
      <x:c r="C17" s="45" t="str">
        <x:v>Requer verificação de dados, contrato, split ou retorno do sistema.</x:v>
      </x:c>
    </x:row>
    <x:row r="19" ht="22" customHeight="1">
      <x:c r="A19" s="22" t="str">
        <x:v>REFERÊNCIAS DE ESTRUTURA</x:v>
      </x:c>
    </x:row>
    <x:row r="20">
      <x:c r="A20" s="62" t="str">
        <x:v>Fonte</x:v>
      </x:c>
      <x:c r="B20" s="63" t="str">
        <x:v>Aplicação na planilha</x:v>
      </x:c>
      <x:c r="C20" s="64" t="str">
        <x:v>Referência</x:v>
      </x:c>
    </x:row>
    <x:row r="21">
      <x:c r="A21" s="65" t="str">
        <x:v>RDx Overview / RDx Onboarding Roadmap</x:v>
      </x:c>
      <x:c r="B21" s="35" t="str">
        <x:v>Campos de fonograma, controle de RightsController/Data Source, DDEX, status e conflitos.</x:v>
      </x:c>
      <x:c r="C21" s="43" t="str">
        <x:v>https://www.rdx-portal.org/</x:v>
      </x:c>
    </x:row>
    <x:row r="22">
      <x:c r="A22" s="65" t="str">
        <x:v>Regulamento de Distribuição — Ecad</x:v>
      </x:c>
      <x:c r="B22" s="35" t="str">
        <x:v>Cadastro de obra, fonograma, titulares, ISRC/GRA, percentuais e validação de status.</x:v>
      </x:c>
      <x:c r="C22" s="43" t="str">
        <x:v>https://www4.ecad.org.br/</x:v>
      </x:c>
    </x:row>
    <x:row r="23">
      <x:c r="A23" s="65" t="str">
        <x:v>Regulamento de Arrecadação — Ecad</x:v>
      </x:c>
      <x:c r="B23" s="35" t="str">
        <x:v>Conciliação de execução pública, relatórios de utilização e informações de distribuição.</x:v>
      </x:c>
      <x:c r="C23" s="43" t="str">
        <x:v>https://www4.ecad.org.br/</x:v>
      </x:c>
    </x:row>
    <x:row r="24">
      <x:c r="A24" s="66" t="str">
        <x:v>Auditoria do caminho da música no streaming e nos pagamentos de royalties</x:v>
      </x:c>
      <x:c r="B24" s="67" t="str">
        <x:v>Controle de metadados, contratos, statements, deduções, retornos e prova documental.</x:v>
      </x:c>
      <x:c r="C24" s="45" t="str">
        <x:v>Arquivo interno Thuim</x:v>
      </x:c>
    </x:row>
    <x:row r="26" ht="34" customHeight="1">
      <x:c r="A26" s="261" t="str">
        <x:v>Observação: informe percentuais no formato percentual (por exemplo, 100% e 41,70%). A distribuição padrão de direitos conexos pode variar conforme o cadastro, os contratos e as regras aplicáveis; mantenha os documentos de suporte vinculados.</x:v>
      </x:c>
      <x:c r="B26" s="262"/>
      <x:c r="C26" s="262"/>
      <x:c r="D26" s="262"/>
      <x:c r="E26" s="262"/>
      <x:c r="F26" s="262"/>
      <x:c r="G26" s="262"/>
      <x:c r="H26" s="262"/>
      <x:c r="I26" s="262"/>
      <x:c r="J26" s="263"/>
    </x:row>
  </x:sheetData>
  <x:mergeCells>
    <x:mergeCell ref="A1:J1"/>
    <x:mergeCell ref="A2:J2"/>
    <x:mergeCell ref="A4:J4"/>
    <x:mergeCell ref="A12:J12"/>
    <x:mergeCell ref="A19:J19"/>
    <x:mergeCell ref="A26:J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6" customHeight="1">
      <x:c r="A1" s="5" t="str">
        <x:v>LISTAS DE APOIO PARA PREENCHIMENTO</x:v>
      </x:c>
    </x:row>
    <x:row r="3">
      <x:c r="A3" s="82" t="str">
        <x:v>Tipo Titular</x:v>
      </x:c>
      <x:c r="B3" s="82" t="str">
        <x:v>Categoria Titular</x:v>
      </x:c>
      <x:c r="C3" s="82" t="str">
        <x:v>Status Cadastro</x:v>
      </x:c>
      <x:c r="D3" s="82" t="str">
        <x:v>Tipo Obra</x:v>
      </x:c>
      <x:c r="E3" s="82" t="str">
        <x:v>Situação RDx</x:v>
      </x:c>
      <x:c r="F3" s="82" t="str">
        <x:v>Sim/Não/Parcial</x:v>
      </x:c>
      <x:c r="G3" s="82" t="str">
        <x:v>Ambiente RDx</x:v>
      </x:c>
      <x:c r="H3" s="82" t="str">
        <x:v>Fonte Receita</x:v>
      </x:c>
    </x:row>
    <x:row r="4">
      <x:c r="A4" s="83" t="str">
        <x:v>PF</x:v>
      </x:c>
      <x:c r="B4" s="83" t="str">
        <x:v>Autor/Compositor</x:v>
      </x:c>
      <x:c r="C4" s="83" t="str">
        <x:v>Pendente</x:v>
      </x:c>
      <x:c r="D4" s="83" t="str">
        <x:v>Original</x:v>
      </x:c>
      <x:c r="E4" s="83" t="str">
        <x:v>Não iniciado</x:v>
      </x:c>
      <x:c r="F4" s="83" t="str">
        <x:v>Sim</x:v>
      </x:c>
      <x:c r="G4" s="83" t="str">
        <x:v>N/A</x:v>
      </x:c>
      <x:c r="H4" s="83" t="str">
        <x:v>Master/Streaming</x:v>
      </x:c>
    </x:row>
    <x:row r="5">
      <x:c r="A5" s="84" t="str">
        <x:v>PJ</x:v>
      </x:c>
      <x:c r="B5" s="83" t="str">
        <x:v>Editor</x:v>
      </x:c>
      <x:c r="C5" s="83" t="str">
        <x:v>Em validação</x:v>
      </x:c>
      <x:c r="D5" s="83" t="str">
        <x:v>Versão</x:v>
      </x:c>
      <x:c r="E5" s="83" t="str">
        <x:v>Em preparação</x:v>
      </x:c>
      <x:c r="F5" s="83" t="str">
        <x:v>Não</x:v>
      </x:c>
      <x:c r="G5" s="83" t="str">
        <x:v>Testes</x:v>
      </x:c>
      <x:c r="H5" s="83" t="str">
        <x:v>Execução Pública</x:v>
      </x:c>
    </x:row>
    <x:row r="6">
      <x:c r="B6" s="83" t="str">
        <x:v>Subeditor</x:v>
      </x:c>
      <x:c r="C6" s="83" t="str">
        <x:v>Liberado</x:v>
      </x:c>
      <x:c r="D6" s="83" t="str">
        <x:v>Pot-pourri</x:v>
      </x:c>
      <x:c r="E6" s="83" t="str">
        <x:v>Pronto para envio</x:v>
      </x:c>
      <x:c r="F6" s="83" t="str">
        <x:v>Parcial</x:v>
      </x:c>
      <x:c r="G6" s="84" t="str">
        <x:v>Produção</x:v>
      </x:c>
      <x:c r="H6" s="83" t="str">
        <x:v>Publishing</x:v>
      </x:c>
    </x:row>
    <x:row r="7">
      <x:c r="B7" s="83" t="str">
        <x:v>Intérprete</x:v>
      </x:c>
      <x:c r="C7" s="83" t="str">
        <x:v>Duplicidade</x:v>
      </x:c>
      <x:c r="D7" s="83" t="str">
        <x:v>Adaptação</x:v>
      </x:c>
      <x:c r="E7" s="83" t="str">
        <x:v>Enviado</x:v>
      </x:c>
      <x:c r="F7" s="84" t="str">
        <x:v>N/A</x:v>
      </x:c>
      <x:c r="H7" s="83" t="str">
        <x:v>Mecânico Digital</x:v>
      </x:c>
    </x:row>
    <x:row r="8">
      <x:c r="B8" s="83" t="str">
        <x:v>Produtor Fonográfico</x:v>
      </x:c>
      <x:c r="C8" s="83" t="str">
        <x:v>Bloqueado</x:v>
      </x:c>
      <x:c r="D8" s="83" t="str">
        <x:v>Tradução</x:v>
      </x:c>
      <x:c r="E8" s="83" t="str">
        <x:v>Retorno pendente</x:v>
      </x:c>
      <x:c r="H8" s="83" t="str">
        <x:v>UGC/Content ID</x:v>
      </x:c>
    </x:row>
    <x:row r="9">
      <x:c r="B9" s="83" t="str">
        <x:v>Músico Executante</x:v>
      </x:c>
      <x:c r="C9" s="84" t="str">
        <x:v>Pendente de documentação</x:v>
      </x:c>
      <x:c r="D9" s="84" t="str">
        <x:v>Domínio Público</x:v>
      </x:c>
      <x:c r="E9" s="83" t="str">
        <x:v>Conflito</x:v>
      </x:c>
      <x:c r="H9" s="83" t="str">
        <x:v>Sincronização</x:v>
      </x:c>
    </x:row>
    <x:row r="10">
      <x:c r="B10" s="83" t="str">
        <x:v>Administrador</x:v>
      </x:c>
      <x:c r="E10" s="84" t="str">
        <x:v>Produção</x:v>
      </x:c>
      <x:c r="H10" s="83" t="str">
        <x:v>Licenciamento</x:v>
      </x:c>
    </x:row>
    <x:row r="11">
      <x:c r="B11" s="83" t="str">
        <x:v>Herança/Sucessor</x:v>
      </x:c>
      <x:c r="H11" s="84" t="str">
        <x:v>Outro</x:v>
      </x:c>
    </x:row>
    <x:row r="12">
      <x:c r="B12" s="84" t="str">
        <x:v>Outro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4" hidden="0" customWidth="1"/>
    <x:col min="4" max="4" width="28" hidden="0" customWidth="1"/>
    <x:col min="5" max="5" width="22" hidden="0" customWidth="1"/>
    <x:col min="6" max="6" width="18" hidden="0" customWidth="1"/>
    <x:col min="7" max="7" width="16" hidden="0" customWidth="1"/>
    <x:col min="8" max="8" width="20" hidden="0" customWidth="1"/>
    <x:col min="9" max="9" width="18" hidden="0" customWidth="1"/>
    <x:col min="10" max="10" width="14" hidden="0" customWidth="1"/>
    <x:col min="11" max="11" width="28" hidden="0" customWidth="1"/>
    <x:col min="12" max="12" width="17" hidden="0" customWidth="1"/>
    <x:col min="13" max="13" width="18" hidden="0" customWidth="1"/>
    <x:col min="14" max="14" width="34" hidden="0" customWidth="1"/>
  </x:cols>
  <x:sheetData>
    <x:row r="1" ht="28" customHeight="1">
      <x:c r="A1" s="5" t="str">
        <x:v>TITULARES — PESSOAS FÍSICAS E JURÍDICAS</x:v>
      </x:c>
    </x:row>
    <x:row r="2" ht="32" customHeight="1">
      <x:c r="A2" s="14" t="str">
        <x:v>Cadastre autores, editores, intérpretes, produtores fonográficos, músicos executantes, administradores e demais interessados.</x:v>
      </x:c>
    </x:row>
    <x:row r="4" ht="34" customHeight="1">
      <x:c r="A4" s="56" t="str">
        <x:v>ID Titular</x:v>
      </x:c>
      <x:c r="B4" s="56" t="str">
        <x:v>Tipo</x:v>
      </x:c>
      <x:c r="C4" s="56" t="str">
        <x:v>Nome Legal / Razão Social</x:v>
      </x:c>
      <x:c r="D4" s="56" t="str">
        <x:v>Nome Artístico / Pseudônimo</x:v>
      </x:c>
      <x:c r="E4" s="56" t="str">
        <x:v>Categoria Principal</x:v>
      </x:c>
      <x:c r="F4" s="56" t="str">
        <x:v>CPF/CNPJ</x:v>
      </x:c>
      <x:c r="G4" s="56" t="str">
        <x:v>CAE/IPI</x:v>
      </x:c>
      <x:c r="H4" s="56" t="str">
        <x:v>Associação / PRO</x:v>
      </x:c>
      <x:c r="I4" s="56" t="str">
        <x:v>Código de Associação</x:v>
      </x:c>
      <x:c r="J4" s="56" t="str">
        <x:v>País</x:v>
      </x:c>
      <x:c r="K4" s="56" t="str">
        <x:v>E-mail</x:v>
      </x:c>
      <x:c r="L4" s="56" t="str">
        <x:v>Telefone</x:v>
      </x:c>
      <x:c r="M4" s="56" t="str">
        <x:v>Status</x:v>
      </x:c>
      <x:c r="N4" s="56" t="str">
        <x:v>Observações</x:v>
      </x:c>
    </x:row>
    <x:row r="5" ht="19" customHeight="1">
      <x:c r="A5" s="141"/>
      <x:c r="B5" s="141"/>
      <x:c r="C5" s="141"/>
      <x:c r="D5" s="141"/>
      <x:c r="E5" s="141"/>
      <x:c r="F5" s="141"/>
      <x:c r="G5" s="141"/>
      <x:c r="H5" s="141"/>
      <x:c r="I5" s="141"/>
      <x:c r="J5" s="141"/>
      <x:c r="K5" s="141"/>
      <x:c r="L5" s="141"/>
      <x:c r="M5" s="141"/>
      <x:c r="N5" s="141"/>
    </x:row>
    <x:row r="6" ht="19" customHeight="1">
      <x:c r="A6" s="142"/>
      <x:c r="B6" s="142"/>
      <x:c r="C6" s="142"/>
      <x:c r="D6" s="142"/>
      <x:c r="E6" s="142"/>
      <x:c r="F6" s="142"/>
      <x:c r="G6" s="142"/>
      <x:c r="H6" s="142"/>
      <x:c r="I6" s="142"/>
      <x:c r="J6" s="142"/>
      <x:c r="K6" s="142"/>
      <x:c r="L6" s="142"/>
      <x:c r="M6" s="142"/>
      <x:c r="N6" s="142"/>
    </x:row>
    <x:row r="7" ht="19" customHeight="1">
      <x:c r="A7" s="142"/>
      <x:c r="B7" s="142"/>
      <x:c r="C7" s="142"/>
      <x:c r="D7" s="142"/>
      <x:c r="E7" s="142"/>
      <x:c r="F7" s="142"/>
      <x:c r="G7" s="142"/>
      <x:c r="H7" s="142"/>
      <x:c r="I7" s="142"/>
      <x:c r="J7" s="142"/>
      <x:c r="K7" s="142"/>
      <x:c r="L7" s="142"/>
      <x:c r="M7" s="142"/>
      <x:c r="N7" s="142"/>
    </x:row>
    <x:row r="8" ht="19" customHeight="1">
      <x:c r="A8" s="142"/>
      <x:c r="B8" s="142"/>
      <x:c r="C8" s="142"/>
      <x:c r="D8" s="142"/>
      <x:c r="E8" s="142"/>
      <x:c r="F8" s="142"/>
      <x:c r="G8" s="142"/>
      <x:c r="H8" s="142"/>
      <x:c r="I8" s="142"/>
      <x:c r="J8" s="142"/>
      <x:c r="K8" s="142"/>
      <x:c r="L8" s="142"/>
      <x:c r="M8" s="142"/>
      <x:c r="N8" s="142"/>
    </x:row>
    <x:row r="9" ht="19" customHeight="1">
      <x:c r="A9" s="142"/>
      <x:c r="B9" s="142"/>
      <x:c r="C9" s="142"/>
      <x:c r="D9" s="142"/>
      <x:c r="E9" s="142"/>
      <x:c r="F9" s="142"/>
      <x:c r="G9" s="142"/>
      <x:c r="H9" s="142"/>
      <x:c r="I9" s="142"/>
      <x:c r="J9" s="142"/>
      <x:c r="K9" s="142"/>
      <x:c r="L9" s="142"/>
      <x:c r="M9" s="142"/>
      <x:c r="N9" s="142"/>
    </x:row>
    <x:row r="10" ht="19" customHeight="1">
      <x:c r="A10" s="142"/>
      <x:c r="B10" s="142"/>
      <x:c r="C10" s="142"/>
      <x:c r="D10" s="142"/>
      <x:c r="E10" s="142"/>
      <x:c r="F10" s="142"/>
      <x:c r="G10" s="142"/>
      <x:c r="H10" s="142"/>
      <x:c r="I10" s="142"/>
      <x:c r="J10" s="142"/>
      <x:c r="K10" s="142"/>
      <x:c r="L10" s="142"/>
      <x:c r="M10" s="142"/>
      <x:c r="N10" s="142"/>
    </x:row>
    <x:row r="11" ht="19" customHeight="1">
      <x:c r="A11" s="142"/>
      <x:c r="B11" s="142"/>
      <x:c r="C11" s="142"/>
      <x:c r="D11" s="142"/>
      <x:c r="E11" s="142"/>
      <x:c r="F11" s="142"/>
      <x:c r="G11" s="142"/>
      <x:c r="H11" s="142"/>
      <x:c r="I11" s="142"/>
      <x:c r="J11" s="142"/>
      <x:c r="K11" s="142"/>
      <x:c r="L11" s="142"/>
      <x:c r="M11" s="142"/>
      <x:c r="N11" s="142"/>
    </x:row>
    <x:row r="12" ht="19" customHeight="1">
      <x:c r="A12" s="142"/>
      <x:c r="B12" s="142"/>
      <x:c r="C12" s="142"/>
      <x:c r="D12" s="142"/>
      <x:c r="E12" s="142"/>
      <x:c r="F12" s="142"/>
      <x:c r="G12" s="142"/>
      <x:c r="H12" s="142"/>
      <x:c r="I12" s="142"/>
      <x:c r="J12" s="142"/>
      <x:c r="K12" s="142"/>
      <x:c r="L12" s="142"/>
      <x:c r="M12" s="142"/>
      <x:c r="N12" s="142"/>
    </x:row>
    <x:row r="13" ht="19" customHeight="1">
      <x:c r="A13" s="142"/>
      <x:c r="B13" s="142"/>
      <x:c r="C13" s="142"/>
      <x:c r="D13" s="142"/>
      <x:c r="E13" s="142"/>
      <x:c r="F13" s="142"/>
      <x:c r="G13" s="142"/>
      <x:c r="H13" s="142"/>
      <x:c r="I13" s="142"/>
      <x:c r="J13" s="142"/>
      <x:c r="K13" s="142"/>
      <x:c r="L13" s="142"/>
      <x:c r="M13" s="142"/>
      <x:c r="N13" s="142"/>
    </x:row>
    <x:row r="14" ht="19" customHeight="1">
      <x:c r="A14" s="142"/>
      <x:c r="B14" s="142"/>
      <x:c r="C14" s="142"/>
      <x:c r="D14" s="142"/>
      <x:c r="E14" s="142"/>
      <x:c r="F14" s="142"/>
      <x:c r="G14" s="142"/>
      <x:c r="H14" s="142"/>
      <x:c r="I14" s="142"/>
      <x:c r="J14" s="142"/>
      <x:c r="K14" s="142"/>
      <x:c r="L14" s="142"/>
      <x:c r="M14" s="142"/>
      <x:c r="N14" s="142"/>
    </x:row>
    <x:row r="15" ht="19" customHeight="1">
      <x:c r="A15" s="142"/>
      <x:c r="B15" s="142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142"/>
      <x:c r="M15" s="142"/>
      <x:c r="N15" s="142"/>
    </x:row>
    <x:row r="16" ht="19" customHeight="1">
      <x:c r="A16" s="142"/>
      <x:c r="B16" s="142"/>
      <x:c r="C16" s="142"/>
      <x:c r="D16" s="142"/>
      <x:c r="E16" s="142"/>
      <x:c r="F16" s="142"/>
      <x:c r="G16" s="142"/>
      <x:c r="H16" s="142"/>
      <x:c r="I16" s="142"/>
      <x:c r="J16" s="142"/>
      <x:c r="K16" s="142"/>
      <x:c r="L16" s="142"/>
      <x:c r="M16" s="142"/>
      <x:c r="N16" s="142"/>
    </x:row>
    <x:row r="17" ht="19" customHeight="1">
      <x:c r="A17" s="142"/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142"/>
      <x:c r="N17" s="142"/>
    </x:row>
    <x:row r="18" ht="19" customHeight="1">
      <x:c r="A18" s="142"/>
      <x:c r="B18" s="142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142"/>
      <x:c r="M18" s="142"/>
      <x:c r="N18" s="142"/>
    </x:row>
    <x:row r="19" ht="19" customHeight="1">
      <x:c r="A19" s="142"/>
      <x:c r="B19" s="142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142"/>
      <x:c r="M19" s="142"/>
      <x:c r="N19" s="142"/>
    </x:row>
    <x:row r="20" ht="19" customHeight="1">
      <x:c r="A20" s="142"/>
      <x:c r="B20" s="142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142"/>
      <x:c r="M20" s="142"/>
      <x:c r="N20" s="142"/>
    </x:row>
    <x:row r="21" ht="19" customHeight="1">
      <x:c r="A21" s="142"/>
      <x:c r="B21" s="142"/>
      <x:c r="C21" s="142"/>
      <x:c r="D21" s="142"/>
      <x:c r="E21" s="142"/>
      <x:c r="F21" s="142"/>
      <x:c r="G21" s="142"/>
      <x:c r="H21" s="142"/>
      <x:c r="I21" s="142"/>
      <x:c r="J21" s="142"/>
      <x:c r="K21" s="142"/>
      <x:c r="L21" s="142"/>
      <x:c r="M21" s="142"/>
      <x:c r="N21" s="142"/>
    </x:row>
    <x:row r="22" ht="19" customHeight="1">
      <x:c r="A22" s="142"/>
      <x:c r="B22" s="142"/>
      <x:c r="C22" s="142"/>
      <x:c r="D22" s="142"/>
      <x:c r="E22" s="142"/>
      <x:c r="F22" s="142"/>
      <x:c r="G22" s="142"/>
      <x:c r="H22" s="142"/>
      <x:c r="I22" s="142"/>
      <x:c r="J22" s="142"/>
      <x:c r="K22" s="142"/>
      <x:c r="L22" s="142"/>
      <x:c r="M22" s="142"/>
      <x:c r="N22" s="142"/>
    </x:row>
    <x:row r="23" ht="19" customHeight="1">
      <x:c r="A23" s="142"/>
      <x:c r="B23" s="142"/>
      <x:c r="C23" s="142"/>
      <x:c r="D23" s="142"/>
      <x:c r="E23" s="142"/>
      <x:c r="F23" s="142"/>
      <x:c r="G23" s="142"/>
      <x:c r="H23" s="142"/>
      <x:c r="I23" s="142"/>
      <x:c r="J23" s="142"/>
      <x:c r="K23" s="142"/>
      <x:c r="L23" s="142"/>
      <x:c r="M23" s="142"/>
      <x:c r="N23" s="142"/>
    </x:row>
    <x:row r="24" ht="19" customHeight="1">
      <x:c r="A24" s="142"/>
      <x:c r="B24" s="142"/>
      <x:c r="C24" s="142"/>
      <x:c r="D24" s="142"/>
      <x:c r="E24" s="142"/>
      <x:c r="F24" s="142"/>
      <x:c r="G24" s="142"/>
      <x:c r="H24" s="142"/>
      <x:c r="I24" s="142"/>
      <x:c r="J24" s="142"/>
      <x:c r="K24" s="142"/>
      <x:c r="L24" s="142"/>
      <x:c r="M24" s="142"/>
      <x:c r="N24" s="142"/>
    </x:row>
    <x:row r="25" ht="19" customHeight="1">
      <x:c r="A25" s="142"/>
      <x:c r="B25" s="142"/>
      <x:c r="C25" s="142"/>
      <x:c r="D25" s="142"/>
      <x:c r="E25" s="142"/>
      <x:c r="F25" s="142"/>
      <x:c r="G25" s="142"/>
      <x:c r="H25" s="142"/>
      <x:c r="I25" s="142"/>
      <x:c r="J25" s="142"/>
      <x:c r="K25" s="142"/>
      <x:c r="L25" s="142"/>
      <x:c r="M25" s="142"/>
      <x:c r="N25" s="142"/>
    </x:row>
    <x:row r="26" ht="19" customHeight="1">
      <x:c r="A26" s="142"/>
      <x:c r="B26" s="142"/>
      <x:c r="C26" s="142"/>
      <x:c r="D26" s="142"/>
      <x:c r="E26" s="142"/>
      <x:c r="F26" s="142"/>
      <x:c r="G26" s="142"/>
      <x:c r="H26" s="142"/>
      <x:c r="I26" s="142"/>
      <x:c r="J26" s="142"/>
      <x:c r="K26" s="142"/>
      <x:c r="L26" s="142"/>
      <x:c r="M26" s="142"/>
      <x:c r="N26" s="142"/>
    </x:row>
    <x:row r="27" ht="19" customHeight="1">
      <x:c r="A27" s="142"/>
      <x:c r="B27" s="142"/>
      <x:c r="C27" s="142"/>
      <x:c r="D27" s="142"/>
      <x:c r="E27" s="142"/>
      <x:c r="F27" s="142"/>
      <x:c r="G27" s="142"/>
      <x:c r="H27" s="142"/>
      <x:c r="I27" s="142"/>
      <x:c r="J27" s="142"/>
      <x:c r="K27" s="142"/>
      <x:c r="L27" s="142"/>
      <x:c r="M27" s="142"/>
      <x:c r="N27" s="142"/>
    </x:row>
    <x:row r="28" ht="19" customHeight="1">
      <x:c r="A28" s="142"/>
      <x:c r="B28" s="142"/>
      <x:c r="C28" s="142"/>
      <x:c r="D28" s="142"/>
      <x:c r="E28" s="142"/>
      <x:c r="F28" s="142"/>
      <x:c r="G28" s="142"/>
      <x:c r="H28" s="142"/>
      <x:c r="I28" s="142"/>
      <x:c r="J28" s="142"/>
      <x:c r="K28" s="142"/>
      <x:c r="L28" s="142"/>
      <x:c r="M28" s="142"/>
      <x:c r="N28" s="142"/>
    </x:row>
    <x:row r="29" ht="19" customHeight="1">
      <x:c r="A29" s="142"/>
      <x:c r="B29" s="142"/>
      <x:c r="C29" s="142"/>
      <x:c r="D29" s="142"/>
      <x:c r="E29" s="142"/>
      <x:c r="F29" s="142"/>
      <x:c r="G29" s="142"/>
      <x:c r="H29" s="142"/>
      <x:c r="I29" s="142"/>
      <x:c r="J29" s="142"/>
      <x:c r="K29" s="142"/>
      <x:c r="L29" s="142"/>
      <x:c r="M29" s="142"/>
      <x:c r="N29" s="142"/>
    </x:row>
    <x:row r="30" ht="19" customHeight="1">
      <x:c r="A30" s="142"/>
      <x:c r="B30" s="142"/>
      <x:c r="C30" s="142"/>
      <x:c r="D30" s="142"/>
      <x:c r="E30" s="142"/>
      <x:c r="F30" s="142"/>
      <x:c r="G30" s="142"/>
      <x:c r="H30" s="142"/>
      <x:c r="I30" s="142"/>
      <x:c r="J30" s="142"/>
      <x:c r="K30" s="142"/>
      <x:c r="L30" s="142"/>
      <x:c r="M30" s="142"/>
      <x:c r="N30" s="142"/>
    </x:row>
    <x:row r="31" ht="19" customHeight="1">
      <x:c r="A31" s="142"/>
      <x:c r="B31" s="142"/>
      <x:c r="C31" s="142"/>
      <x:c r="D31" s="142"/>
      <x:c r="E31" s="142"/>
      <x:c r="F31" s="142"/>
      <x:c r="G31" s="142"/>
      <x:c r="H31" s="142"/>
      <x:c r="I31" s="142"/>
      <x:c r="J31" s="142"/>
      <x:c r="K31" s="142"/>
      <x:c r="L31" s="142"/>
      <x:c r="M31" s="142"/>
      <x:c r="N31" s="142"/>
    </x:row>
    <x:row r="32" ht="19" customHeight="1">
      <x:c r="A32" s="142"/>
      <x:c r="B32" s="142"/>
      <x:c r="C32" s="142"/>
      <x:c r="D32" s="142"/>
      <x:c r="E32" s="142"/>
      <x:c r="F32" s="142"/>
      <x:c r="G32" s="142"/>
      <x:c r="H32" s="142"/>
      <x:c r="I32" s="142"/>
      <x:c r="J32" s="142"/>
      <x:c r="K32" s="142"/>
      <x:c r="L32" s="142"/>
      <x:c r="M32" s="142"/>
      <x:c r="N32" s="142"/>
    </x:row>
    <x:row r="33" ht="19" customHeight="1">
      <x:c r="A33" s="142"/>
      <x:c r="B33" s="142"/>
      <x:c r="C33" s="142"/>
      <x:c r="D33" s="142"/>
      <x:c r="E33" s="142"/>
      <x:c r="F33" s="142"/>
      <x:c r="G33" s="142"/>
      <x:c r="H33" s="142"/>
      <x:c r="I33" s="142"/>
      <x:c r="J33" s="142"/>
      <x:c r="K33" s="142"/>
      <x:c r="L33" s="142"/>
      <x:c r="M33" s="142"/>
      <x:c r="N33" s="142"/>
    </x:row>
    <x:row r="34" ht="19" customHeight="1">
      <x:c r="A34" s="142"/>
      <x:c r="B34" s="142"/>
      <x:c r="C34" s="142"/>
      <x:c r="D34" s="142"/>
      <x:c r="E34" s="142"/>
      <x:c r="F34" s="142"/>
      <x:c r="G34" s="142"/>
      <x:c r="H34" s="142"/>
      <x:c r="I34" s="142"/>
      <x:c r="J34" s="142"/>
      <x:c r="K34" s="142"/>
      <x:c r="L34" s="142"/>
      <x:c r="M34" s="142"/>
      <x:c r="N34" s="142"/>
    </x:row>
    <x:row r="35" ht="19" customHeight="1">
      <x:c r="A35" s="142"/>
      <x:c r="B35" s="142"/>
      <x:c r="C35" s="142"/>
      <x:c r="D35" s="142"/>
      <x:c r="E35" s="142"/>
      <x:c r="F35" s="142"/>
      <x:c r="G35" s="142"/>
      <x:c r="H35" s="142"/>
      <x:c r="I35" s="142"/>
      <x:c r="J35" s="142"/>
      <x:c r="K35" s="142"/>
      <x:c r="L35" s="142"/>
      <x:c r="M35" s="142"/>
      <x:c r="N35" s="142"/>
    </x:row>
    <x:row r="36" ht="19" customHeight="1">
      <x:c r="A36" s="142"/>
      <x:c r="B36" s="142"/>
      <x:c r="C36" s="142"/>
      <x:c r="D36" s="142"/>
      <x:c r="E36" s="142"/>
      <x:c r="F36" s="142"/>
      <x:c r="G36" s="142"/>
      <x:c r="H36" s="142"/>
      <x:c r="I36" s="142"/>
      <x:c r="J36" s="142"/>
      <x:c r="K36" s="142"/>
      <x:c r="L36" s="142"/>
      <x:c r="M36" s="142"/>
      <x:c r="N36" s="142"/>
    </x:row>
    <x:row r="37" ht="19" customHeight="1">
      <x:c r="A37" s="142"/>
      <x:c r="B37" s="142"/>
      <x:c r="C37" s="142"/>
      <x:c r="D37" s="142"/>
      <x:c r="E37" s="142"/>
      <x:c r="F37" s="142"/>
      <x:c r="G37" s="142"/>
      <x:c r="H37" s="142"/>
      <x:c r="I37" s="142"/>
      <x:c r="J37" s="142"/>
      <x:c r="K37" s="142"/>
      <x:c r="L37" s="142"/>
      <x:c r="M37" s="142"/>
      <x:c r="N37" s="142"/>
    </x:row>
    <x:row r="38" ht="19" customHeight="1">
      <x:c r="A38" s="142"/>
      <x:c r="B38" s="142"/>
      <x:c r="C38" s="142"/>
      <x:c r="D38" s="142"/>
      <x:c r="E38" s="142"/>
      <x:c r="F38" s="142"/>
      <x:c r="G38" s="142"/>
      <x:c r="H38" s="142"/>
      <x:c r="I38" s="142"/>
      <x:c r="J38" s="142"/>
      <x:c r="K38" s="142"/>
      <x:c r="L38" s="142"/>
      <x:c r="M38" s="142"/>
      <x:c r="N38" s="142"/>
    </x:row>
    <x:row r="39" ht="19" customHeight="1">
      <x:c r="A39" s="142"/>
      <x:c r="B39" s="142"/>
      <x:c r="C39" s="142"/>
      <x:c r="D39" s="142"/>
      <x:c r="E39" s="142"/>
      <x:c r="F39" s="142"/>
      <x:c r="G39" s="142"/>
      <x:c r="H39" s="142"/>
      <x:c r="I39" s="142"/>
      <x:c r="J39" s="142"/>
      <x:c r="K39" s="142"/>
      <x:c r="L39" s="142"/>
      <x:c r="M39" s="142"/>
      <x:c r="N39" s="142"/>
    </x:row>
    <x:row r="40" ht="19" customHeight="1">
      <x:c r="A40" s="142"/>
      <x:c r="B40" s="142"/>
      <x:c r="C40" s="142"/>
      <x:c r="D40" s="142"/>
      <x:c r="E40" s="142"/>
      <x:c r="F40" s="142"/>
      <x:c r="G40" s="142"/>
      <x:c r="H40" s="142"/>
      <x:c r="I40" s="142"/>
      <x:c r="J40" s="142"/>
      <x:c r="K40" s="142"/>
      <x:c r="L40" s="142"/>
      <x:c r="M40" s="142"/>
      <x:c r="N40" s="142"/>
    </x:row>
    <x:row r="41" ht="19" customHeight="1">
      <x:c r="A41" s="142"/>
      <x:c r="B41" s="142"/>
      <x:c r="C41" s="142"/>
      <x:c r="D41" s="142"/>
      <x:c r="E41" s="142"/>
      <x:c r="F41" s="142"/>
      <x:c r="G41" s="142"/>
      <x:c r="H41" s="142"/>
      <x:c r="I41" s="142"/>
      <x:c r="J41" s="142"/>
      <x:c r="K41" s="142"/>
      <x:c r="L41" s="142"/>
      <x:c r="M41" s="142"/>
      <x:c r="N41" s="142"/>
    </x:row>
    <x:row r="42" ht="19" customHeight="1">
      <x:c r="A42" s="142"/>
      <x:c r="B42" s="142"/>
      <x:c r="C42" s="142"/>
      <x:c r="D42" s="142"/>
      <x:c r="E42" s="142"/>
      <x:c r="F42" s="142"/>
      <x:c r="G42" s="142"/>
      <x:c r="H42" s="142"/>
      <x:c r="I42" s="142"/>
      <x:c r="J42" s="142"/>
      <x:c r="K42" s="142"/>
      <x:c r="L42" s="142"/>
      <x:c r="M42" s="142"/>
      <x:c r="N42" s="142"/>
    </x:row>
    <x:row r="43" ht="19" customHeight="1">
      <x:c r="A43" s="142"/>
      <x:c r="B43" s="142"/>
      <x:c r="C43" s="142"/>
      <x:c r="D43" s="142"/>
      <x:c r="E43" s="142"/>
      <x:c r="F43" s="142"/>
      <x:c r="G43" s="142"/>
      <x:c r="H43" s="142"/>
      <x:c r="I43" s="142"/>
      <x:c r="J43" s="142"/>
      <x:c r="K43" s="142"/>
      <x:c r="L43" s="142"/>
      <x:c r="M43" s="142"/>
      <x:c r="N43" s="142"/>
    </x:row>
    <x:row r="44" ht="19" customHeight="1">
      <x:c r="A44" s="142"/>
      <x:c r="B44" s="142"/>
      <x:c r="C44" s="142"/>
      <x:c r="D44" s="142"/>
      <x:c r="E44" s="142"/>
      <x:c r="F44" s="142"/>
      <x:c r="G44" s="142"/>
      <x:c r="H44" s="142"/>
      <x:c r="I44" s="142"/>
      <x:c r="J44" s="142"/>
      <x:c r="K44" s="142"/>
      <x:c r="L44" s="142"/>
      <x:c r="M44" s="142"/>
      <x:c r="N44" s="142"/>
    </x:row>
    <x:row r="45" ht="19" customHeight="1">
      <x:c r="A45" s="142"/>
      <x:c r="B45" s="142"/>
      <x:c r="C45" s="142"/>
      <x:c r="D45" s="142"/>
      <x:c r="E45" s="142"/>
      <x:c r="F45" s="142"/>
      <x:c r="G45" s="142"/>
      <x:c r="H45" s="142"/>
      <x:c r="I45" s="142"/>
      <x:c r="J45" s="142"/>
      <x:c r="K45" s="142"/>
      <x:c r="L45" s="142"/>
      <x:c r="M45" s="142"/>
      <x:c r="N45" s="142"/>
    </x:row>
    <x:row r="46" ht="19" customHeight="1">
      <x:c r="A46" s="142"/>
      <x:c r="B46" s="142"/>
      <x:c r="C46" s="142"/>
      <x:c r="D46" s="142"/>
      <x:c r="E46" s="142"/>
      <x:c r="F46" s="142"/>
      <x:c r="G46" s="142"/>
      <x:c r="H46" s="142"/>
      <x:c r="I46" s="142"/>
      <x:c r="J46" s="142"/>
      <x:c r="K46" s="142"/>
      <x:c r="L46" s="142"/>
      <x:c r="M46" s="142"/>
      <x:c r="N46" s="142"/>
    </x:row>
    <x:row r="47" ht="19" customHeight="1">
      <x:c r="A47" s="142"/>
      <x:c r="B47" s="142"/>
      <x:c r="C47" s="142"/>
      <x:c r="D47" s="142"/>
      <x:c r="E47" s="142"/>
      <x:c r="F47" s="142"/>
      <x:c r="G47" s="142"/>
      <x:c r="H47" s="142"/>
      <x:c r="I47" s="142"/>
      <x:c r="J47" s="142"/>
      <x:c r="K47" s="142"/>
      <x:c r="L47" s="142"/>
      <x:c r="M47" s="142"/>
      <x:c r="N47" s="142"/>
    </x:row>
    <x:row r="48" ht="19" customHeight="1">
      <x:c r="A48" s="142"/>
      <x:c r="B48" s="142"/>
      <x:c r="C48" s="142"/>
      <x:c r="D48" s="142"/>
      <x:c r="E48" s="142"/>
      <x:c r="F48" s="142"/>
      <x:c r="G48" s="142"/>
      <x:c r="H48" s="142"/>
      <x:c r="I48" s="142"/>
      <x:c r="J48" s="142"/>
      <x:c r="K48" s="142"/>
      <x:c r="L48" s="142"/>
      <x:c r="M48" s="142"/>
      <x:c r="N48" s="142"/>
    </x:row>
    <x:row r="49" ht="19" customHeight="1">
      <x:c r="A49" s="142"/>
      <x:c r="B49" s="142"/>
      <x:c r="C49" s="142"/>
      <x:c r="D49" s="142"/>
      <x:c r="E49" s="142"/>
      <x:c r="F49" s="142"/>
      <x:c r="G49" s="142"/>
      <x:c r="H49" s="142"/>
      <x:c r="I49" s="142"/>
      <x:c r="J49" s="142"/>
      <x:c r="K49" s="142"/>
      <x:c r="L49" s="142"/>
      <x:c r="M49" s="142"/>
      <x:c r="N49" s="142"/>
    </x:row>
    <x:row r="50" ht="19" customHeight="1">
      <x:c r="A50" s="142"/>
      <x:c r="B50" s="142"/>
      <x:c r="C50" s="142"/>
      <x:c r="D50" s="142"/>
      <x:c r="E50" s="142"/>
      <x:c r="F50" s="142"/>
      <x:c r="G50" s="142"/>
      <x:c r="H50" s="142"/>
      <x:c r="I50" s="142"/>
      <x:c r="J50" s="142"/>
      <x:c r="K50" s="142"/>
      <x:c r="L50" s="142"/>
      <x:c r="M50" s="142"/>
      <x:c r="N50" s="142"/>
    </x:row>
    <x:row r="51" ht="19" customHeight="1">
      <x:c r="A51" s="142"/>
      <x:c r="B51" s="142"/>
      <x:c r="C51" s="142"/>
      <x:c r="D51" s="142"/>
      <x:c r="E51" s="142"/>
      <x:c r="F51" s="142"/>
      <x:c r="G51" s="142"/>
      <x:c r="H51" s="142"/>
      <x:c r="I51" s="142"/>
      <x:c r="J51" s="142"/>
      <x:c r="K51" s="142"/>
      <x:c r="L51" s="142"/>
      <x:c r="M51" s="142"/>
      <x:c r="N51" s="142"/>
    </x:row>
    <x:row r="52" ht="19" customHeight="1">
      <x:c r="A52" s="142"/>
      <x:c r="B52" s="142"/>
      <x:c r="C52" s="142"/>
      <x:c r="D52" s="142"/>
      <x:c r="E52" s="142"/>
      <x:c r="F52" s="142"/>
      <x:c r="G52" s="142"/>
      <x:c r="H52" s="142"/>
      <x:c r="I52" s="142"/>
      <x:c r="J52" s="142"/>
      <x:c r="K52" s="142"/>
      <x:c r="L52" s="142"/>
      <x:c r="M52" s="142"/>
      <x:c r="N52" s="142"/>
    </x:row>
    <x:row r="53" ht="19" customHeight="1">
      <x:c r="A53" s="142"/>
      <x:c r="B53" s="142"/>
      <x:c r="C53" s="142"/>
      <x:c r="D53" s="142"/>
      <x:c r="E53" s="142"/>
      <x:c r="F53" s="142"/>
      <x:c r="G53" s="142"/>
      <x:c r="H53" s="142"/>
      <x:c r="I53" s="142"/>
      <x:c r="J53" s="142"/>
      <x:c r="K53" s="142"/>
      <x:c r="L53" s="142"/>
      <x:c r="M53" s="142"/>
      <x:c r="N53" s="142"/>
    </x:row>
    <x:row r="54" ht="19" customHeight="1">
      <x:c r="A54" s="142"/>
      <x:c r="B54" s="142"/>
      <x:c r="C54" s="142"/>
      <x:c r="D54" s="142"/>
      <x:c r="E54" s="142"/>
      <x:c r="F54" s="142"/>
      <x:c r="G54" s="142"/>
      <x:c r="H54" s="142"/>
      <x:c r="I54" s="142"/>
      <x:c r="J54" s="142"/>
      <x:c r="K54" s="142"/>
      <x:c r="L54" s="142"/>
      <x:c r="M54" s="142"/>
      <x:c r="N54" s="142"/>
    </x:row>
    <x:row r="55" ht="19" customHeight="1">
      <x:c r="A55" s="142"/>
      <x:c r="B55" s="142"/>
      <x:c r="C55" s="142"/>
      <x:c r="D55" s="142"/>
      <x:c r="E55" s="142"/>
      <x:c r="F55" s="142"/>
      <x:c r="G55" s="142"/>
      <x:c r="H55" s="142"/>
      <x:c r="I55" s="142"/>
      <x:c r="J55" s="142"/>
      <x:c r="K55" s="142"/>
      <x:c r="L55" s="142"/>
      <x:c r="M55" s="142"/>
      <x:c r="N55" s="142"/>
    </x:row>
    <x:row r="56" ht="19" customHeight="1">
      <x:c r="A56" s="142"/>
      <x:c r="B56" s="142"/>
      <x:c r="C56" s="142"/>
      <x:c r="D56" s="142"/>
      <x:c r="E56" s="142"/>
      <x:c r="F56" s="142"/>
      <x:c r="G56" s="142"/>
      <x:c r="H56" s="142"/>
      <x:c r="I56" s="142"/>
      <x:c r="J56" s="142"/>
      <x:c r="K56" s="142"/>
      <x:c r="L56" s="142"/>
      <x:c r="M56" s="142"/>
      <x:c r="N56" s="142"/>
    </x:row>
    <x:row r="57" ht="19" customHeight="1">
      <x:c r="A57" s="142"/>
      <x:c r="B57" s="142"/>
      <x:c r="C57" s="142"/>
      <x:c r="D57" s="142"/>
      <x:c r="E57" s="142"/>
      <x:c r="F57" s="142"/>
      <x:c r="G57" s="142"/>
      <x:c r="H57" s="142"/>
      <x:c r="I57" s="142"/>
      <x:c r="J57" s="142"/>
      <x:c r="K57" s="142"/>
      <x:c r="L57" s="142"/>
      <x:c r="M57" s="142"/>
      <x:c r="N57" s="142"/>
    </x:row>
    <x:row r="58" ht="19" customHeight="1">
      <x:c r="A58" s="142"/>
      <x:c r="B58" s="142"/>
      <x:c r="C58" s="142"/>
      <x:c r="D58" s="142"/>
      <x:c r="E58" s="142"/>
      <x:c r="F58" s="142"/>
      <x:c r="G58" s="142"/>
      <x:c r="H58" s="142"/>
      <x:c r="I58" s="142"/>
      <x:c r="J58" s="142"/>
      <x:c r="K58" s="142"/>
      <x:c r="L58" s="142"/>
      <x:c r="M58" s="142"/>
      <x:c r="N58" s="142"/>
    </x:row>
    <x:row r="59" ht="19" customHeight="1">
      <x:c r="A59" s="142"/>
      <x:c r="B59" s="142"/>
      <x:c r="C59" s="142"/>
      <x:c r="D59" s="142"/>
      <x:c r="E59" s="142"/>
      <x:c r="F59" s="142"/>
      <x:c r="G59" s="142"/>
      <x:c r="H59" s="142"/>
      <x:c r="I59" s="142"/>
      <x:c r="J59" s="142"/>
      <x:c r="K59" s="142"/>
      <x:c r="L59" s="142"/>
      <x:c r="M59" s="142"/>
      <x:c r="N59" s="142"/>
    </x:row>
    <x:row r="60" ht="19" customHeight="1">
      <x:c r="A60" s="142"/>
      <x:c r="B60" s="142"/>
      <x:c r="C60" s="142"/>
      <x:c r="D60" s="142"/>
      <x:c r="E60" s="142"/>
      <x:c r="F60" s="142"/>
      <x:c r="G60" s="142"/>
      <x:c r="H60" s="142"/>
      <x:c r="I60" s="142"/>
      <x:c r="J60" s="142"/>
      <x:c r="K60" s="142"/>
      <x:c r="L60" s="142"/>
      <x:c r="M60" s="142"/>
      <x:c r="N60" s="142"/>
    </x:row>
    <x:row r="61" ht="19" customHeight="1">
      <x:c r="A61" s="142"/>
      <x:c r="B61" s="142"/>
      <x:c r="C61" s="142"/>
      <x:c r="D61" s="142"/>
      <x:c r="E61" s="142"/>
      <x:c r="F61" s="142"/>
      <x:c r="G61" s="142"/>
      <x:c r="H61" s="142"/>
      <x:c r="I61" s="142"/>
      <x:c r="J61" s="142"/>
      <x:c r="K61" s="142"/>
      <x:c r="L61" s="142"/>
      <x:c r="M61" s="142"/>
      <x:c r="N61" s="142"/>
    </x:row>
    <x:row r="62" ht="19" customHeight="1">
      <x:c r="A62" s="142"/>
      <x:c r="B62" s="142"/>
      <x:c r="C62" s="142"/>
      <x:c r="D62" s="142"/>
      <x:c r="E62" s="142"/>
      <x:c r="F62" s="142"/>
      <x:c r="G62" s="142"/>
      <x:c r="H62" s="142"/>
      <x:c r="I62" s="142"/>
      <x:c r="J62" s="142"/>
      <x:c r="K62" s="142"/>
      <x:c r="L62" s="142"/>
      <x:c r="M62" s="142"/>
      <x:c r="N62" s="142"/>
    </x:row>
    <x:row r="63" ht="19" customHeight="1">
      <x:c r="A63" s="142"/>
      <x:c r="B63" s="142"/>
      <x:c r="C63" s="142"/>
      <x:c r="D63" s="142"/>
      <x:c r="E63" s="142"/>
      <x:c r="F63" s="142"/>
      <x:c r="G63" s="142"/>
      <x:c r="H63" s="142"/>
      <x:c r="I63" s="142"/>
      <x:c r="J63" s="142"/>
      <x:c r="K63" s="142"/>
      <x:c r="L63" s="142"/>
      <x:c r="M63" s="142"/>
      <x:c r="N63" s="142"/>
    </x:row>
    <x:row r="64" ht="19" customHeight="1">
      <x:c r="A64" s="142"/>
      <x:c r="B64" s="142"/>
      <x:c r="C64" s="142"/>
      <x:c r="D64" s="142"/>
      <x:c r="E64" s="142"/>
      <x:c r="F64" s="142"/>
      <x:c r="G64" s="142"/>
      <x:c r="H64" s="142"/>
      <x:c r="I64" s="142"/>
      <x:c r="J64" s="142"/>
      <x:c r="K64" s="142"/>
      <x:c r="L64" s="142"/>
      <x:c r="M64" s="142"/>
      <x:c r="N64" s="142"/>
    </x:row>
    <x:row r="65" ht="19" customHeight="1">
      <x:c r="A65" s="142"/>
      <x:c r="B65" s="142"/>
      <x:c r="C65" s="142"/>
      <x:c r="D65" s="142"/>
      <x:c r="E65" s="142"/>
      <x:c r="F65" s="142"/>
      <x:c r="G65" s="142"/>
      <x:c r="H65" s="142"/>
      <x:c r="I65" s="142"/>
      <x:c r="J65" s="142"/>
      <x:c r="K65" s="142"/>
      <x:c r="L65" s="142"/>
      <x:c r="M65" s="142"/>
      <x:c r="N65" s="142"/>
    </x:row>
    <x:row r="66" ht="19" customHeight="1">
      <x:c r="A66" s="142"/>
      <x:c r="B66" s="142"/>
      <x:c r="C66" s="142"/>
      <x:c r="D66" s="142"/>
      <x:c r="E66" s="142"/>
      <x:c r="F66" s="142"/>
      <x:c r="G66" s="142"/>
      <x:c r="H66" s="142"/>
      <x:c r="I66" s="142"/>
      <x:c r="J66" s="142"/>
      <x:c r="K66" s="142"/>
      <x:c r="L66" s="142"/>
      <x:c r="M66" s="142"/>
      <x:c r="N66" s="142"/>
    </x:row>
    <x:row r="67" ht="19" customHeight="1">
      <x:c r="A67" s="142"/>
      <x:c r="B67" s="142"/>
      <x:c r="C67" s="142"/>
      <x:c r="D67" s="142"/>
      <x:c r="E67" s="142"/>
      <x:c r="F67" s="142"/>
      <x:c r="G67" s="142"/>
      <x:c r="H67" s="142"/>
      <x:c r="I67" s="142"/>
      <x:c r="J67" s="142"/>
      <x:c r="K67" s="142"/>
      <x:c r="L67" s="142"/>
      <x:c r="M67" s="142"/>
      <x:c r="N67" s="142"/>
    </x:row>
    <x:row r="68" ht="19" customHeight="1">
      <x:c r="A68" s="142"/>
      <x:c r="B68" s="142"/>
      <x:c r="C68" s="142"/>
      <x:c r="D68" s="142"/>
      <x:c r="E68" s="142"/>
      <x:c r="F68" s="142"/>
      <x:c r="G68" s="142"/>
      <x:c r="H68" s="142"/>
      <x:c r="I68" s="142"/>
      <x:c r="J68" s="142"/>
      <x:c r="K68" s="142"/>
      <x:c r="L68" s="142"/>
      <x:c r="M68" s="142"/>
      <x:c r="N68" s="142"/>
    </x:row>
    <x:row r="69" ht="19" customHeight="1">
      <x:c r="A69" s="142"/>
      <x:c r="B69" s="142"/>
      <x:c r="C69" s="142"/>
      <x:c r="D69" s="142"/>
      <x:c r="E69" s="142"/>
      <x:c r="F69" s="142"/>
      <x:c r="G69" s="142"/>
      <x:c r="H69" s="142"/>
      <x:c r="I69" s="142"/>
      <x:c r="J69" s="142"/>
      <x:c r="K69" s="142"/>
      <x:c r="L69" s="142"/>
      <x:c r="M69" s="142"/>
      <x:c r="N69" s="142"/>
    </x:row>
    <x:row r="70" ht="19" customHeight="1">
      <x:c r="A70" s="142"/>
      <x:c r="B70" s="142"/>
      <x:c r="C70" s="142"/>
      <x:c r="D70" s="142"/>
      <x:c r="E70" s="142"/>
      <x:c r="F70" s="142"/>
      <x:c r="G70" s="142"/>
      <x:c r="H70" s="142"/>
      <x:c r="I70" s="142"/>
      <x:c r="J70" s="142"/>
      <x:c r="K70" s="142"/>
      <x:c r="L70" s="142"/>
      <x:c r="M70" s="142"/>
      <x:c r="N70" s="142"/>
    </x:row>
    <x:row r="71" ht="19" customHeight="1">
      <x:c r="A71" s="142"/>
      <x:c r="B71" s="142"/>
      <x:c r="C71" s="142"/>
      <x:c r="D71" s="142"/>
      <x:c r="E71" s="142"/>
      <x:c r="F71" s="142"/>
      <x:c r="G71" s="142"/>
      <x:c r="H71" s="142"/>
      <x:c r="I71" s="142"/>
      <x:c r="J71" s="142"/>
      <x:c r="K71" s="142"/>
      <x:c r="L71" s="142"/>
      <x:c r="M71" s="142"/>
      <x:c r="N71" s="142"/>
    </x:row>
    <x:row r="72" ht="19" customHeight="1">
      <x:c r="A72" s="142"/>
      <x:c r="B72" s="142"/>
      <x:c r="C72" s="142"/>
      <x:c r="D72" s="142"/>
      <x:c r="E72" s="142"/>
      <x:c r="F72" s="142"/>
      <x:c r="G72" s="142"/>
      <x:c r="H72" s="142"/>
      <x:c r="I72" s="142"/>
      <x:c r="J72" s="142"/>
      <x:c r="K72" s="142"/>
      <x:c r="L72" s="142"/>
      <x:c r="M72" s="142"/>
      <x:c r="N72" s="142"/>
    </x:row>
    <x:row r="73" ht="19" customHeight="1">
      <x:c r="A73" s="142"/>
      <x:c r="B73" s="142"/>
      <x:c r="C73" s="142"/>
      <x:c r="D73" s="142"/>
      <x:c r="E73" s="142"/>
      <x:c r="F73" s="142"/>
      <x:c r="G73" s="142"/>
      <x:c r="H73" s="142"/>
      <x:c r="I73" s="142"/>
      <x:c r="J73" s="142"/>
      <x:c r="K73" s="142"/>
      <x:c r="L73" s="142"/>
      <x:c r="M73" s="142"/>
      <x:c r="N73" s="142"/>
    </x:row>
    <x:row r="74" ht="19" customHeight="1">
      <x:c r="A74" s="142"/>
      <x:c r="B74" s="142"/>
      <x:c r="C74" s="142"/>
      <x:c r="D74" s="142"/>
      <x:c r="E74" s="142"/>
      <x:c r="F74" s="142"/>
      <x:c r="G74" s="142"/>
      <x:c r="H74" s="142"/>
      <x:c r="I74" s="142"/>
      <x:c r="J74" s="142"/>
      <x:c r="K74" s="142"/>
      <x:c r="L74" s="142"/>
      <x:c r="M74" s="142"/>
      <x:c r="N74" s="142"/>
    </x:row>
    <x:row r="75" ht="19" customHeight="1">
      <x:c r="A75" s="142"/>
      <x:c r="B75" s="142"/>
      <x:c r="C75" s="142"/>
      <x:c r="D75" s="142"/>
      <x:c r="E75" s="142"/>
      <x:c r="F75" s="142"/>
      <x:c r="G75" s="142"/>
      <x:c r="H75" s="142"/>
      <x:c r="I75" s="142"/>
      <x:c r="J75" s="142"/>
      <x:c r="K75" s="142"/>
      <x:c r="L75" s="142"/>
      <x:c r="M75" s="142"/>
      <x:c r="N75" s="142"/>
    </x:row>
    <x:row r="76" ht="19" customHeight="1">
      <x:c r="A76" s="142"/>
      <x:c r="B76" s="142"/>
      <x:c r="C76" s="142"/>
      <x:c r="D76" s="142"/>
      <x:c r="E76" s="142"/>
      <x:c r="F76" s="142"/>
      <x:c r="G76" s="142"/>
      <x:c r="H76" s="142"/>
      <x:c r="I76" s="142"/>
      <x:c r="J76" s="142"/>
      <x:c r="K76" s="142"/>
      <x:c r="L76" s="142"/>
      <x:c r="M76" s="142"/>
      <x:c r="N76" s="142"/>
    </x:row>
    <x:row r="77" ht="19" customHeight="1">
      <x:c r="A77" s="142"/>
      <x:c r="B77" s="142"/>
      <x:c r="C77" s="142"/>
      <x:c r="D77" s="142"/>
      <x:c r="E77" s="142"/>
      <x:c r="F77" s="142"/>
      <x:c r="G77" s="142"/>
      <x:c r="H77" s="142"/>
      <x:c r="I77" s="142"/>
      <x:c r="J77" s="142"/>
      <x:c r="K77" s="142"/>
      <x:c r="L77" s="142"/>
      <x:c r="M77" s="142"/>
      <x:c r="N77" s="142"/>
    </x:row>
    <x:row r="78" ht="19" customHeight="1">
      <x:c r="A78" s="142"/>
      <x:c r="B78" s="142"/>
      <x:c r="C78" s="142"/>
      <x:c r="D78" s="142"/>
      <x:c r="E78" s="142"/>
      <x:c r="F78" s="142"/>
      <x:c r="G78" s="142"/>
      <x:c r="H78" s="142"/>
      <x:c r="I78" s="142"/>
      <x:c r="J78" s="142"/>
      <x:c r="K78" s="142"/>
      <x:c r="L78" s="142"/>
      <x:c r="M78" s="142"/>
      <x:c r="N78" s="142"/>
    </x:row>
    <x:row r="79" ht="19" customHeight="1">
      <x:c r="A79" s="142"/>
      <x:c r="B79" s="142"/>
      <x:c r="C79" s="142"/>
      <x:c r="D79" s="142"/>
      <x:c r="E79" s="142"/>
      <x:c r="F79" s="142"/>
      <x:c r="G79" s="142"/>
      <x:c r="H79" s="142"/>
      <x:c r="I79" s="142"/>
      <x:c r="J79" s="142"/>
      <x:c r="K79" s="142"/>
      <x:c r="L79" s="142"/>
      <x:c r="M79" s="142"/>
      <x:c r="N79" s="142"/>
    </x:row>
    <x:row r="80" ht="19" customHeight="1">
      <x:c r="A80" s="142"/>
      <x:c r="B80" s="142"/>
      <x:c r="C80" s="142"/>
      <x:c r="D80" s="142"/>
      <x:c r="E80" s="142"/>
      <x:c r="F80" s="142"/>
      <x:c r="G80" s="142"/>
      <x:c r="H80" s="142"/>
      <x:c r="I80" s="142"/>
      <x:c r="J80" s="142"/>
      <x:c r="K80" s="142"/>
      <x:c r="L80" s="142"/>
      <x:c r="M80" s="142"/>
      <x:c r="N80" s="142"/>
    </x:row>
    <x:row r="81" ht="19" customHeight="1">
      <x:c r="A81" s="142"/>
      <x:c r="B81" s="142"/>
      <x:c r="C81" s="142"/>
      <x:c r="D81" s="142"/>
      <x:c r="E81" s="142"/>
      <x:c r="F81" s="142"/>
      <x:c r="G81" s="142"/>
      <x:c r="H81" s="142"/>
      <x:c r="I81" s="142"/>
      <x:c r="J81" s="142"/>
      <x:c r="K81" s="142"/>
      <x:c r="L81" s="142"/>
      <x:c r="M81" s="142"/>
      <x:c r="N81" s="142"/>
    </x:row>
    <x:row r="82" ht="19" customHeight="1">
      <x:c r="A82" s="142"/>
      <x:c r="B82" s="142"/>
      <x:c r="C82" s="142"/>
      <x:c r="D82" s="142"/>
      <x:c r="E82" s="142"/>
      <x:c r="F82" s="142"/>
      <x:c r="G82" s="142"/>
      <x:c r="H82" s="142"/>
      <x:c r="I82" s="142"/>
      <x:c r="J82" s="142"/>
      <x:c r="K82" s="142"/>
      <x:c r="L82" s="142"/>
      <x:c r="M82" s="142"/>
      <x:c r="N82" s="142"/>
    </x:row>
    <x:row r="83" ht="19" customHeight="1">
      <x:c r="A83" s="142"/>
      <x:c r="B83" s="142"/>
      <x:c r="C83" s="142"/>
      <x:c r="D83" s="142"/>
      <x:c r="E83" s="142"/>
      <x:c r="F83" s="142"/>
      <x:c r="G83" s="142"/>
      <x:c r="H83" s="142"/>
      <x:c r="I83" s="142"/>
      <x:c r="J83" s="142"/>
      <x:c r="K83" s="142"/>
      <x:c r="L83" s="142"/>
      <x:c r="M83" s="142"/>
      <x:c r="N83" s="142"/>
    </x:row>
    <x:row r="84" ht="19" customHeight="1">
      <x:c r="A84" s="142"/>
      <x:c r="B84" s="142"/>
      <x:c r="C84" s="142"/>
      <x:c r="D84" s="142"/>
      <x:c r="E84" s="142"/>
      <x:c r="F84" s="142"/>
      <x:c r="G84" s="142"/>
      <x:c r="H84" s="142"/>
      <x:c r="I84" s="142"/>
      <x:c r="J84" s="142"/>
      <x:c r="K84" s="142"/>
      <x:c r="L84" s="142"/>
      <x:c r="M84" s="142"/>
      <x:c r="N84" s="142"/>
    </x:row>
    <x:row r="85" ht="19" customHeight="1">
      <x:c r="A85" s="142"/>
      <x:c r="B85" s="142"/>
      <x:c r="C85" s="142"/>
      <x:c r="D85" s="142"/>
      <x:c r="E85" s="142"/>
      <x:c r="F85" s="142"/>
      <x:c r="G85" s="142"/>
      <x:c r="H85" s="142"/>
      <x:c r="I85" s="142"/>
      <x:c r="J85" s="142"/>
      <x:c r="K85" s="142"/>
      <x:c r="L85" s="142"/>
      <x:c r="M85" s="142"/>
      <x:c r="N85" s="142"/>
    </x:row>
    <x:row r="86" ht="19" customHeight="1">
      <x:c r="A86" s="142"/>
      <x:c r="B86" s="142"/>
      <x:c r="C86" s="142"/>
      <x:c r="D86" s="142"/>
      <x:c r="E86" s="142"/>
      <x:c r="F86" s="142"/>
      <x:c r="G86" s="142"/>
      <x:c r="H86" s="142"/>
      <x:c r="I86" s="142"/>
      <x:c r="J86" s="142"/>
      <x:c r="K86" s="142"/>
      <x:c r="L86" s="142"/>
      <x:c r="M86" s="142"/>
      <x:c r="N86" s="142"/>
    </x:row>
    <x:row r="87" ht="19" customHeight="1">
      <x:c r="A87" s="142"/>
      <x:c r="B87" s="142"/>
      <x:c r="C87" s="142"/>
      <x:c r="D87" s="142"/>
      <x:c r="E87" s="142"/>
      <x:c r="F87" s="142"/>
      <x:c r="G87" s="142"/>
      <x:c r="H87" s="142"/>
      <x:c r="I87" s="142"/>
      <x:c r="J87" s="142"/>
      <x:c r="K87" s="142"/>
      <x:c r="L87" s="142"/>
      <x:c r="M87" s="142"/>
      <x:c r="N87" s="142"/>
    </x:row>
    <x:row r="88" ht="19" customHeight="1">
      <x:c r="A88" s="142"/>
      <x:c r="B88" s="142"/>
      <x:c r="C88" s="142"/>
      <x:c r="D88" s="142"/>
      <x:c r="E88" s="142"/>
      <x:c r="F88" s="142"/>
      <x:c r="G88" s="142"/>
      <x:c r="H88" s="142"/>
      <x:c r="I88" s="142"/>
      <x:c r="J88" s="142"/>
      <x:c r="K88" s="142"/>
      <x:c r="L88" s="142"/>
      <x:c r="M88" s="142"/>
      <x:c r="N88" s="142"/>
    </x:row>
    <x:row r="89" ht="19" customHeight="1">
      <x:c r="A89" s="142"/>
      <x:c r="B89" s="142"/>
      <x:c r="C89" s="142"/>
      <x:c r="D89" s="142"/>
      <x:c r="E89" s="142"/>
      <x:c r="F89" s="142"/>
      <x:c r="G89" s="142"/>
      <x:c r="H89" s="142"/>
      <x:c r="I89" s="142"/>
      <x:c r="J89" s="142"/>
      <x:c r="K89" s="142"/>
      <x:c r="L89" s="142"/>
      <x:c r="M89" s="142"/>
      <x:c r="N89" s="142"/>
    </x:row>
    <x:row r="90" ht="19" customHeight="1">
      <x:c r="A90" s="142"/>
      <x:c r="B90" s="142"/>
      <x:c r="C90" s="142"/>
      <x:c r="D90" s="142"/>
      <x:c r="E90" s="142"/>
      <x:c r="F90" s="142"/>
      <x:c r="G90" s="142"/>
      <x:c r="H90" s="142"/>
      <x:c r="I90" s="142"/>
      <x:c r="J90" s="142"/>
      <x:c r="K90" s="142"/>
      <x:c r="L90" s="142"/>
      <x:c r="M90" s="142"/>
      <x:c r="N90" s="142"/>
    </x:row>
    <x:row r="91" ht="19" customHeight="1">
      <x:c r="A91" s="142"/>
      <x:c r="B91" s="142"/>
      <x:c r="C91" s="142"/>
      <x:c r="D91" s="142"/>
      <x:c r="E91" s="142"/>
      <x:c r="F91" s="142"/>
      <x:c r="G91" s="142"/>
      <x:c r="H91" s="142"/>
      <x:c r="I91" s="142"/>
      <x:c r="J91" s="142"/>
      <x:c r="K91" s="142"/>
      <x:c r="L91" s="142"/>
      <x:c r="M91" s="142"/>
      <x:c r="N91" s="142"/>
    </x:row>
    <x:row r="92" ht="19" customHeight="1">
      <x:c r="A92" s="142"/>
      <x:c r="B92" s="142"/>
      <x:c r="C92" s="142"/>
      <x:c r="D92" s="142"/>
      <x:c r="E92" s="142"/>
      <x:c r="F92" s="142"/>
      <x:c r="G92" s="142"/>
      <x:c r="H92" s="142"/>
      <x:c r="I92" s="142"/>
      <x:c r="J92" s="142"/>
      <x:c r="K92" s="142"/>
      <x:c r="L92" s="142"/>
      <x:c r="M92" s="142"/>
      <x:c r="N92" s="142"/>
    </x:row>
    <x:row r="93" ht="19" customHeight="1">
      <x:c r="A93" s="142"/>
      <x:c r="B93" s="142"/>
      <x:c r="C93" s="142"/>
      <x:c r="D93" s="142"/>
      <x:c r="E93" s="142"/>
      <x:c r="F93" s="142"/>
      <x:c r="G93" s="142"/>
      <x:c r="H93" s="142"/>
      <x:c r="I93" s="142"/>
      <x:c r="J93" s="142"/>
      <x:c r="K93" s="142"/>
      <x:c r="L93" s="142"/>
      <x:c r="M93" s="142"/>
      <x:c r="N93" s="142"/>
    </x:row>
    <x:row r="94" ht="19" customHeight="1">
      <x:c r="A94" s="142"/>
      <x:c r="B94" s="142"/>
      <x:c r="C94" s="142"/>
      <x:c r="D94" s="142"/>
      <x:c r="E94" s="142"/>
      <x:c r="F94" s="142"/>
      <x:c r="G94" s="142"/>
      <x:c r="H94" s="142"/>
      <x:c r="I94" s="142"/>
      <x:c r="J94" s="142"/>
      <x:c r="K94" s="142"/>
      <x:c r="L94" s="142"/>
      <x:c r="M94" s="142"/>
      <x:c r="N94" s="142"/>
    </x:row>
    <x:row r="95" ht="19" customHeight="1">
      <x:c r="A95" s="142"/>
      <x:c r="B95" s="142"/>
      <x:c r="C95" s="142"/>
      <x:c r="D95" s="142"/>
      <x:c r="E95" s="142"/>
      <x:c r="F95" s="142"/>
      <x:c r="G95" s="142"/>
      <x:c r="H95" s="142"/>
      <x:c r="I95" s="142"/>
      <x:c r="J95" s="142"/>
      <x:c r="K95" s="142"/>
      <x:c r="L95" s="142"/>
      <x:c r="M95" s="142"/>
      <x:c r="N95" s="142"/>
    </x:row>
    <x:row r="96" ht="19" customHeight="1">
      <x:c r="A96" s="142"/>
      <x:c r="B96" s="142"/>
      <x:c r="C96" s="142"/>
      <x:c r="D96" s="142"/>
      <x:c r="E96" s="142"/>
      <x:c r="F96" s="142"/>
      <x:c r="G96" s="142"/>
      <x:c r="H96" s="142"/>
      <x:c r="I96" s="142"/>
      <x:c r="J96" s="142"/>
      <x:c r="K96" s="142"/>
      <x:c r="L96" s="142"/>
      <x:c r="M96" s="142"/>
      <x:c r="N96" s="142"/>
    </x:row>
    <x:row r="97" ht="19" customHeight="1">
      <x:c r="A97" s="142"/>
      <x:c r="B97" s="142"/>
      <x:c r="C97" s="142"/>
      <x:c r="D97" s="142"/>
      <x:c r="E97" s="142"/>
      <x:c r="F97" s="142"/>
      <x:c r="G97" s="142"/>
      <x:c r="H97" s="142"/>
      <x:c r="I97" s="142"/>
      <x:c r="J97" s="142"/>
      <x:c r="K97" s="142"/>
      <x:c r="L97" s="142"/>
      <x:c r="M97" s="142"/>
      <x:c r="N97" s="142"/>
    </x:row>
    <x:row r="98" ht="19" customHeight="1">
      <x:c r="A98" s="142"/>
      <x:c r="B98" s="142"/>
      <x:c r="C98" s="142"/>
      <x:c r="D98" s="142"/>
      <x:c r="E98" s="142"/>
      <x:c r="F98" s="142"/>
      <x:c r="G98" s="142"/>
      <x:c r="H98" s="142"/>
      <x:c r="I98" s="142"/>
      <x:c r="J98" s="142"/>
      <x:c r="K98" s="142"/>
      <x:c r="L98" s="142"/>
      <x:c r="M98" s="142"/>
      <x:c r="N98" s="142"/>
    </x:row>
    <x:row r="99" ht="19" customHeight="1">
      <x:c r="A99" s="142"/>
      <x:c r="B99" s="142"/>
      <x:c r="C99" s="142"/>
      <x:c r="D99" s="142"/>
      <x:c r="E99" s="142"/>
      <x:c r="F99" s="142"/>
      <x:c r="G99" s="142"/>
      <x:c r="H99" s="142"/>
      <x:c r="I99" s="142"/>
      <x:c r="J99" s="142"/>
      <x:c r="K99" s="142"/>
      <x:c r="L99" s="142"/>
      <x:c r="M99" s="142"/>
      <x:c r="N99" s="142"/>
    </x:row>
    <x:row r="100" ht="19" customHeight="1">
      <x:c r="A100" s="142"/>
      <x:c r="B100" s="142"/>
      <x:c r="C100" s="142"/>
      <x:c r="D100" s="142"/>
      <x:c r="E100" s="142"/>
      <x:c r="F100" s="142"/>
      <x:c r="G100" s="142"/>
      <x:c r="H100" s="142"/>
      <x:c r="I100" s="142"/>
      <x:c r="J100" s="142"/>
      <x:c r="K100" s="142"/>
      <x:c r="L100" s="142"/>
      <x:c r="M100" s="142"/>
      <x:c r="N100" s="142"/>
    </x:row>
    <x:row r="101" ht="19" customHeight="1">
      <x:c r="A101" s="142"/>
      <x:c r="B101" s="142"/>
      <x:c r="C101" s="142"/>
      <x:c r="D101" s="142"/>
      <x:c r="E101" s="142"/>
      <x:c r="F101" s="142"/>
      <x:c r="G101" s="142"/>
      <x:c r="H101" s="142"/>
      <x:c r="I101" s="142"/>
      <x:c r="J101" s="142"/>
      <x:c r="K101" s="142"/>
      <x:c r="L101" s="142"/>
      <x:c r="M101" s="142"/>
      <x:c r="N101" s="142"/>
    </x:row>
    <x:row r="102" ht="19" customHeight="1">
      <x:c r="A102" s="142"/>
      <x:c r="B102" s="142"/>
      <x:c r="C102" s="142"/>
      <x:c r="D102" s="142"/>
      <x:c r="E102" s="142"/>
      <x:c r="F102" s="142"/>
      <x:c r="G102" s="142"/>
      <x:c r="H102" s="142"/>
      <x:c r="I102" s="142"/>
      <x:c r="J102" s="142"/>
      <x:c r="K102" s="142"/>
      <x:c r="L102" s="142"/>
      <x:c r="M102" s="142"/>
      <x:c r="N102" s="142"/>
    </x:row>
    <x:row r="103" ht="19" customHeight="1">
      <x:c r="A103" s="142"/>
      <x:c r="B103" s="142"/>
      <x:c r="C103" s="142"/>
      <x:c r="D103" s="142"/>
      <x:c r="E103" s="142"/>
      <x:c r="F103" s="142"/>
      <x:c r="G103" s="142"/>
      <x:c r="H103" s="142"/>
      <x:c r="I103" s="142"/>
      <x:c r="J103" s="142"/>
      <x:c r="K103" s="142"/>
      <x:c r="L103" s="142"/>
      <x:c r="M103" s="142"/>
      <x:c r="N103" s="142"/>
    </x:row>
    <x:row r="104" ht="19" customHeight="1">
      <x:c r="A104" s="142"/>
      <x:c r="B104" s="142"/>
      <x:c r="C104" s="142"/>
      <x:c r="D104" s="142"/>
      <x:c r="E104" s="142"/>
      <x:c r="F104" s="142"/>
      <x:c r="G104" s="142"/>
      <x:c r="H104" s="142"/>
      <x:c r="I104" s="142"/>
      <x:c r="J104" s="142"/>
      <x:c r="K104" s="142"/>
      <x:c r="L104" s="142"/>
      <x:c r="M104" s="142"/>
      <x:c r="N104" s="142"/>
    </x:row>
    <x:row r="105" ht="19" customHeight="1">
      <x:c r="A105" s="142"/>
      <x:c r="B105" s="142"/>
      <x:c r="C105" s="142"/>
      <x:c r="D105" s="142"/>
      <x:c r="E105" s="142"/>
      <x:c r="F105" s="142"/>
      <x:c r="G105" s="142"/>
      <x:c r="H105" s="142"/>
      <x:c r="I105" s="142"/>
      <x:c r="J105" s="142"/>
      <x:c r="K105" s="142"/>
      <x:c r="L105" s="142"/>
      <x:c r="M105" s="142"/>
      <x:c r="N105" s="142"/>
    </x:row>
    <x:row r="106" ht="19" customHeight="1">
      <x:c r="A106" s="142"/>
      <x:c r="B106" s="142"/>
      <x:c r="C106" s="142"/>
      <x:c r="D106" s="142"/>
      <x:c r="E106" s="142"/>
      <x:c r="F106" s="142"/>
      <x:c r="G106" s="142"/>
      <x:c r="H106" s="142"/>
      <x:c r="I106" s="142"/>
      <x:c r="J106" s="142"/>
      <x:c r="K106" s="142"/>
      <x:c r="L106" s="142"/>
      <x:c r="M106" s="142"/>
      <x:c r="N106" s="142"/>
    </x:row>
    <x:row r="107" ht="19" customHeight="1">
      <x:c r="A107" s="142"/>
      <x:c r="B107" s="142"/>
      <x:c r="C107" s="142"/>
      <x:c r="D107" s="142"/>
      <x:c r="E107" s="142"/>
      <x:c r="F107" s="142"/>
      <x:c r="G107" s="142"/>
      <x:c r="H107" s="142"/>
      <x:c r="I107" s="142"/>
      <x:c r="J107" s="142"/>
      <x:c r="K107" s="142"/>
      <x:c r="L107" s="142"/>
      <x:c r="M107" s="142"/>
      <x:c r="N107" s="142"/>
    </x:row>
    <x:row r="108" ht="19" customHeight="1">
      <x:c r="A108" s="142"/>
      <x:c r="B108" s="142"/>
      <x:c r="C108" s="142"/>
      <x:c r="D108" s="142"/>
      <x:c r="E108" s="142"/>
      <x:c r="F108" s="142"/>
      <x:c r="G108" s="142"/>
      <x:c r="H108" s="142"/>
      <x:c r="I108" s="142"/>
      <x:c r="J108" s="142"/>
      <x:c r="K108" s="142"/>
      <x:c r="L108" s="142"/>
      <x:c r="M108" s="142"/>
      <x:c r="N108" s="142"/>
    </x:row>
    <x:row r="109" ht="19" customHeight="1">
      <x:c r="A109" s="142"/>
      <x:c r="B109" s="142"/>
      <x:c r="C109" s="142"/>
      <x:c r="D109" s="142"/>
      <x:c r="E109" s="142"/>
      <x:c r="F109" s="142"/>
      <x:c r="G109" s="142"/>
      <x:c r="H109" s="142"/>
      <x:c r="I109" s="142"/>
      <x:c r="J109" s="142"/>
      <x:c r="K109" s="142"/>
      <x:c r="L109" s="142"/>
      <x:c r="M109" s="142"/>
      <x:c r="N109" s="142"/>
    </x:row>
    <x:row r="110" ht="19" customHeight="1">
      <x:c r="A110" s="142"/>
      <x:c r="B110" s="142"/>
      <x:c r="C110" s="142"/>
      <x:c r="D110" s="142"/>
      <x:c r="E110" s="142"/>
      <x:c r="F110" s="142"/>
      <x:c r="G110" s="142"/>
      <x:c r="H110" s="142"/>
      <x:c r="I110" s="142"/>
      <x:c r="J110" s="142"/>
      <x:c r="K110" s="142"/>
      <x:c r="L110" s="142"/>
      <x:c r="M110" s="142"/>
      <x:c r="N110" s="142"/>
    </x:row>
    <x:row r="111" ht="19" customHeight="1">
      <x:c r="A111" s="142"/>
      <x:c r="B111" s="142"/>
      <x:c r="C111" s="142"/>
      <x:c r="D111" s="142"/>
      <x:c r="E111" s="142"/>
      <x:c r="F111" s="142"/>
      <x:c r="G111" s="142"/>
      <x:c r="H111" s="142"/>
      <x:c r="I111" s="142"/>
      <x:c r="J111" s="142"/>
      <x:c r="K111" s="142"/>
      <x:c r="L111" s="142"/>
      <x:c r="M111" s="142"/>
      <x:c r="N111" s="142"/>
    </x:row>
    <x:row r="112" ht="19" customHeight="1">
      <x:c r="A112" s="142"/>
      <x:c r="B112" s="142"/>
      <x:c r="C112" s="142"/>
      <x:c r="D112" s="142"/>
      <x:c r="E112" s="142"/>
      <x:c r="F112" s="142"/>
      <x:c r="G112" s="142"/>
      <x:c r="H112" s="142"/>
      <x:c r="I112" s="142"/>
      <x:c r="J112" s="142"/>
      <x:c r="K112" s="142"/>
      <x:c r="L112" s="142"/>
      <x:c r="M112" s="142"/>
      <x:c r="N112" s="142"/>
    </x:row>
    <x:row r="113" ht="19" customHeight="1">
      <x:c r="A113" s="142"/>
      <x:c r="B113" s="142"/>
      <x:c r="C113" s="142"/>
      <x:c r="D113" s="142"/>
      <x:c r="E113" s="142"/>
      <x:c r="F113" s="142"/>
      <x:c r="G113" s="142"/>
      <x:c r="H113" s="142"/>
      <x:c r="I113" s="142"/>
      <x:c r="J113" s="142"/>
      <x:c r="K113" s="142"/>
      <x:c r="L113" s="142"/>
      <x:c r="M113" s="142"/>
      <x:c r="N113" s="142"/>
    </x:row>
    <x:row r="114" ht="19" customHeight="1">
      <x:c r="A114" s="142"/>
      <x:c r="B114" s="142"/>
      <x:c r="C114" s="142"/>
      <x:c r="D114" s="142"/>
      <x:c r="E114" s="142"/>
      <x:c r="F114" s="142"/>
      <x:c r="G114" s="142"/>
      <x:c r="H114" s="142"/>
      <x:c r="I114" s="142"/>
      <x:c r="J114" s="142"/>
      <x:c r="K114" s="142"/>
      <x:c r="L114" s="142"/>
      <x:c r="M114" s="142"/>
      <x:c r="N114" s="142"/>
    </x:row>
    <x:row r="115" ht="19" customHeight="1">
      <x:c r="A115" s="142"/>
      <x:c r="B115" s="142"/>
      <x:c r="C115" s="142"/>
      <x:c r="D115" s="142"/>
      <x:c r="E115" s="142"/>
      <x:c r="F115" s="142"/>
      <x:c r="G115" s="142"/>
      <x:c r="H115" s="142"/>
      <x:c r="I115" s="142"/>
      <x:c r="J115" s="142"/>
      <x:c r="K115" s="142"/>
      <x:c r="L115" s="142"/>
      <x:c r="M115" s="142"/>
      <x:c r="N115" s="142"/>
    </x:row>
    <x:row r="116" ht="19" customHeight="1">
      <x:c r="A116" s="142"/>
      <x:c r="B116" s="142"/>
      <x:c r="C116" s="142"/>
      <x:c r="D116" s="142"/>
      <x:c r="E116" s="142"/>
      <x:c r="F116" s="142"/>
      <x:c r="G116" s="142"/>
      <x:c r="H116" s="142"/>
      <x:c r="I116" s="142"/>
      <x:c r="J116" s="142"/>
      <x:c r="K116" s="142"/>
      <x:c r="L116" s="142"/>
      <x:c r="M116" s="142"/>
      <x:c r="N116" s="142"/>
    </x:row>
    <x:row r="117" ht="19" customHeight="1">
      <x:c r="A117" s="142"/>
      <x:c r="B117" s="142"/>
      <x:c r="C117" s="142"/>
      <x:c r="D117" s="142"/>
      <x:c r="E117" s="142"/>
      <x:c r="F117" s="142"/>
      <x:c r="G117" s="142"/>
      <x:c r="H117" s="142"/>
      <x:c r="I117" s="142"/>
      <x:c r="J117" s="142"/>
      <x:c r="K117" s="142"/>
      <x:c r="L117" s="142"/>
      <x:c r="M117" s="142"/>
      <x:c r="N117" s="142"/>
    </x:row>
    <x:row r="118" ht="19" customHeight="1">
      <x:c r="A118" s="142"/>
      <x:c r="B118" s="142"/>
      <x:c r="C118" s="142"/>
      <x:c r="D118" s="142"/>
      <x:c r="E118" s="142"/>
      <x:c r="F118" s="142"/>
      <x:c r="G118" s="142"/>
      <x:c r="H118" s="142"/>
      <x:c r="I118" s="142"/>
      <x:c r="J118" s="142"/>
      <x:c r="K118" s="142"/>
      <x:c r="L118" s="142"/>
      <x:c r="M118" s="142"/>
      <x:c r="N118" s="142"/>
    </x:row>
    <x:row r="119" ht="19" customHeight="1">
      <x:c r="A119" s="142"/>
      <x:c r="B119" s="142"/>
      <x:c r="C119" s="142"/>
      <x:c r="D119" s="142"/>
      <x:c r="E119" s="142"/>
      <x:c r="F119" s="142"/>
      <x:c r="G119" s="142"/>
      <x:c r="H119" s="142"/>
      <x:c r="I119" s="142"/>
      <x:c r="J119" s="142"/>
      <x:c r="K119" s="142"/>
      <x:c r="L119" s="142"/>
      <x:c r="M119" s="142"/>
      <x:c r="N119" s="142"/>
    </x:row>
    <x:row r="120" ht="19" customHeight="1">
      <x:c r="A120" s="142"/>
      <x:c r="B120" s="142"/>
      <x:c r="C120" s="142"/>
      <x:c r="D120" s="142"/>
      <x:c r="E120" s="142"/>
      <x:c r="F120" s="142"/>
      <x:c r="G120" s="142"/>
      <x:c r="H120" s="142"/>
      <x:c r="I120" s="142"/>
      <x:c r="J120" s="142"/>
      <x:c r="K120" s="142"/>
      <x:c r="L120" s="142"/>
      <x:c r="M120" s="142"/>
      <x:c r="N120" s="142"/>
    </x:row>
    <x:row r="121" ht="19" customHeight="1">
      <x:c r="A121" s="142"/>
      <x:c r="B121" s="142"/>
      <x:c r="C121" s="142"/>
      <x:c r="D121" s="142"/>
      <x:c r="E121" s="142"/>
      <x:c r="F121" s="142"/>
      <x:c r="G121" s="142"/>
      <x:c r="H121" s="142"/>
      <x:c r="I121" s="142"/>
      <x:c r="J121" s="142"/>
      <x:c r="K121" s="142"/>
      <x:c r="L121" s="142"/>
      <x:c r="M121" s="142"/>
      <x:c r="N121" s="142"/>
    </x:row>
    <x:row r="122" ht="19" customHeight="1">
      <x:c r="A122" s="142"/>
      <x:c r="B122" s="142"/>
      <x:c r="C122" s="142"/>
      <x:c r="D122" s="142"/>
      <x:c r="E122" s="142"/>
      <x:c r="F122" s="142"/>
      <x:c r="G122" s="142"/>
      <x:c r="H122" s="142"/>
      <x:c r="I122" s="142"/>
      <x:c r="J122" s="142"/>
      <x:c r="K122" s="142"/>
      <x:c r="L122" s="142"/>
      <x:c r="M122" s="142"/>
      <x:c r="N122" s="142"/>
    </x:row>
    <x:row r="123" ht="19" customHeight="1">
      <x:c r="A123" s="142"/>
      <x:c r="B123" s="142"/>
      <x:c r="C123" s="142"/>
      <x:c r="D123" s="142"/>
      <x:c r="E123" s="142"/>
      <x:c r="F123" s="142"/>
      <x:c r="G123" s="142"/>
      <x:c r="H123" s="142"/>
      <x:c r="I123" s="142"/>
      <x:c r="J123" s="142"/>
      <x:c r="K123" s="142"/>
      <x:c r="L123" s="142"/>
      <x:c r="M123" s="142"/>
      <x:c r="N123" s="142"/>
    </x:row>
    <x:row r="124" ht="19" customHeight="1">
      <x:c r="A124" s="142"/>
      <x:c r="B124" s="142"/>
      <x:c r="C124" s="142"/>
      <x:c r="D124" s="142"/>
      <x:c r="E124" s="142"/>
      <x:c r="F124" s="142"/>
      <x:c r="G124" s="142"/>
      <x:c r="H124" s="142"/>
      <x:c r="I124" s="142"/>
      <x:c r="J124" s="142"/>
      <x:c r="K124" s="142"/>
      <x:c r="L124" s="142"/>
      <x:c r="M124" s="142"/>
      <x:c r="N124" s="142"/>
    </x:row>
    <x:row r="125" ht="19" customHeight="1">
      <x:c r="A125" s="142"/>
      <x:c r="B125" s="142"/>
      <x:c r="C125" s="142"/>
      <x:c r="D125" s="142"/>
      <x:c r="E125" s="142"/>
      <x:c r="F125" s="142"/>
      <x:c r="G125" s="142"/>
      <x:c r="H125" s="142"/>
      <x:c r="I125" s="142"/>
      <x:c r="J125" s="142"/>
      <x:c r="K125" s="142"/>
      <x:c r="L125" s="142"/>
      <x:c r="M125" s="142"/>
      <x:c r="N125" s="142"/>
    </x:row>
    <x:row r="126" ht="19" customHeight="1">
      <x:c r="A126" s="142"/>
      <x:c r="B126" s="142"/>
      <x:c r="C126" s="142"/>
      <x:c r="D126" s="142"/>
      <x:c r="E126" s="142"/>
      <x:c r="F126" s="142"/>
      <x:c r="G126" s="142"/>
      <x:c r="H126" s="142"/>
      <x:c r="I126" s="142"/>
      <x:c r="J126" s="142"/>
      <x:c r="K126" s="142"/>
      <x:c r="L126" s="142"/>
      <x:c r="M126" s="142"/>
      <x:c r="N126" s="142"/>
    </x:row>
    <x:row r="127" ht="19" customHeight="1">
      <x:c r="A127" s="142"/>
      <x:c r="B127" s="142"/>
      <x:c r="C127" s="142"/>
      <x:c r="D127" s="142"/>
      <x:c r="E127" s="142"/>
      <x:c r="F127" s="142"/>
      <x:c r="G127" s="142"/>
      <x:c r="H127" s="142"/>
      <x:c r="I127" s="142"/>
      <x:c r="J127" s="142"/>
      <x:c r="K127" s="142"/>
      <x:c r="L127" s="142"/>
      <x:c r="M127" s="142"/>
      <x:c r="N127" s="142"/>
    </x:row>
    <x:row r="128" ht="19" customHeight="1">
      <x:c r="A128" s="142"/>
      <x:c r="B128" s="142"/>
      <x:c r="C128" s="142"/>
      <x:c r="D128" s="142"/>
      <x:c r="E128" s="142"/>
      <x:c r="F128" s="142"/>
      <x:c r="G128" s="142"/>
      <x:c r="H128" s="142"/>
      <x:c r="I128" s="142"/>
      <x:c r="J128" s="142"/>
      <x:c r="K128" s="142"/>
      <x:c r="L128" s="142"/>
      <x:c r="M128" s="142"/>
      <x:c r="N128" s="142"/>
    </x:row>
    <x:row r="129" ht="19" customHeight="1">
      <x:c r="A129" s="142"/>
      <x:c r="B129" s="142"/>
      <x:c r="C129" s="142"/>
      <x:c r="D129" s="142"/>
      <x:c r="E129" s="142"/>
      <x:c r="F129" s="142"/>
      <x:c r="G129" s="142"/>
      <x:c r="H129" s="142"/>
      <x:c r="I129" s="142"/>
      <x:c r="J129" s="142"/>
      <x:c r="K129" s="142"/>
      <x:c r="L129" s="142"/>
      <x:c r="M129" s="142"/>
      <x:c r="N129" s="142"/>
    </x:row>
    <x:row r="130" ht="19" customHeight="1">
      <x:c r="A130" s="142"/>
      <x:c r="B130" s="142"/>
      <x:c r="C130" s="142"/>
      <x:c r="D130" s="142"/>
      <x:c r="E130" s="142"/>
      <x:c r="F130" s="142"/>
      <x:c r="G130" s="142"/>
      <x:c r="H130" s="142"/>
      <x:c r="I130" s="142"/>
      <x:c r="J130" s="142"/>
      <x:c r="K130" s="142"/>
      <x:c r="L130" s="142"/>
      <x:c r="M130" s="142"/>
      <x:c r="N130" s="142"/>
    </x:row>
    <x:row r="131" ht="19" customHeight="1">
      <x:c r="A131" s="142"/>
      <x:c r="B131" s="142"/>
      <x:c r="C131" s="142"/>
      <x:c r="D131" s="142"/>
      <x:c r="E131" s="142"/>
      <x:c r="F131" s="142"/>
      <x:c r="G131" s="142"/>
      <x:c r="H131" s="142"/>
      <x:c r="I131" s="142"/>
      <x:c r="J131" s="142"/>
      <x:c r="K131" s="142"/>
      <x:c r="L131" s="142"/>
      <x:c r="M131" s="142"/>
      <x:c r="N131" s="142"/>
    </x:row>
    <x:row r="132" ht="19" customHeight="1">
      <x:c r="A132" s="142"/>
      <x:c r="B132" s="142"/>
      <x:c r="C132" s="142"/>
      <x:c r="D132" s="142"/>
      <x:c r="E132" s="142"/>
      <x:c r="F132" s="142"/>
      <x:c r="G132" s="142"/>
      <x:c r="H132" s="142"/>
      <x:c r="I132" s="142"/>
      <x:c r="J132" s="142"/>
      <x:c r="K132" s="142"/>
      <x:c r="L132" s="142"/>
      <x:c r="M132" s="142"/>
      <x:c r="N132" s="142"/>
    </x:row>
    <x:row r="133" ht="19" customHeight="1">
      <x:c r="A133" s="142"/>
      <x:c r="B133" s="142"/>
      <x:c r="C133" s="142"/>
      <x:c r="D133" s="142"/>
      <x:c r="E133" s="142"/>
      <x:c r="F133" s="142"/>
      <x:c r="G133" s="142"/>
      <x:c r="H133" s="142"/>
      <x:c r="I133" s="142"/>
      <x:c r="J133" s="142"/>
      <x:c r="K133" s="142"/>
      <x:c r="L133" s="142"/>
      <x:c r="M133" s="142"/>
      <x:c r="N133" s="142"/>
    </x:row>
    <x:row r="134" ht="19" customHeight="1">
      <x:c r="A134" s="142"/>
      <x:c r="B134" s="142"/>
      <x:c r="C134" s="142"/>
      <x:c r="D134" s="142"/>
      <x:c r="E134" s="142"/>
      <x:c r="F134" s="142"/>
      <x:c r="G134" s="142"/>
      <x:c r="H134" s="142"/>
      <x:c r="I134" s="142"/>
      <x:c r="J134" s="142"/>
      <x:c r="K134" s="142"/>
      <x:c r="L134" s="142"/>
      <x:c r="M134" s="142"/>
      <x:c r="N134" s="142"/>
    </x:row>
    <x:row r="135" ht="19" customHeight="1">
      <x:c r="A135" s="142"/>
      <x:c r="B135" s="142"/>
      <x:c r="C135" s="142"/>
      <x:c r="D135" s="142"/>
      <x:c r="E135" s="142"/>
      <x:c r="F135" s="142"/>
      <x:c r="G135" s="142"/>
      <x:c r="H135" s="142"/>
      <x:c r="I135" s="142"/>
      <x:c r="J135" s="142"/>
      <x:c r="K135" s="142"/>
      <x:c r="L135" s="142"/>
      <x:c r="M135" s="142"/>
      <x:c r="N135" s="142"/>
    </x:row>
    <x:row r="136" ht="19" customHeight="1">
      <x:c r="A136" s="142"/>
      <x:c r="B136" s="142"/>
      <x:c r="C136" s="142"/>
      <x:c r="D136" s="142"/>
      <x:c r="E136" s="142"/>
      <x:c r="F136" s="142"/>
      <x:c r="G136" s="142"/>
      <x:c r="H136" s="142"/>
      <x:c r="I136" s="142"/>
      <x:c r="J136" s="142"/>
      <x:c r="K136" s="142"/>
      <x:c r="L136" s="142"/>
      <x:c r="M136" s="142"/>
      <x:c r="N136" s="142"/>
    </x:row>
    <x:row r="137" ht="19" customHeight="1">
      <x:c r="A137" s="142"/>
      <x:c r="B137" s="142"/>
      <x:c r="C137" s="142"/>
      <x:c r="D137" s="142"/>
      <x:c r="E137" s="142"/>
      <x:c r="F137" s="142"/>
      <x:c r="G137" s="142"/>
      <x:c r="H137" s="142"/>
      <x:c r="I137" s="142"/>
      <x:c r="J137" s="142"/>
      <x:c r="K137" s="142"/>
      <x:c r="L137" s="142"/>
      <x:c r="M137" s="142"/>
      <x:c r="N137" s="142"/>
    </x:row>
    <x:row r="138" ht="19" customHeight="1">
      <x:c r="A138" s="142"/>
      <x:c r="B138" s="142"/>
      <x:c r="C138" s="142"/>
      <x:c r="D138" s="142"/>
      <x:c r="E138" s="142"/>
      <x:c r="F138" s="142"/>
      <x:c r="G138" s="142"/>
      <x:c r="H138" s="142"/>
      <x:c r="I138" s="142"/>
      <x:c r="J138" s="142"/>
      <x:c r="K138" s="142"/>
      <x:c r="L138" s="142"/>
      <x:c r="M138" s="142"/>
      <x:c r="N138" s="142"/>
    </x:row>
    <x:row r="139" ht="19" customHeight="1">
      <x:c r="A139" s="142"/>
      <x:c r="B139" s="142"/>
      <x:c r="C139" s="142"/>
      <x:c r="D139" s="142"/>
      <x:c r="E139" s="142"/>
      <x:c r="F139" s="142"/>
      <x:c r="G139" s="142"/>
      <x:c r="H139" s="142"/>
      <x:c r="I139" s="142"/>
      <x:c r="J139" s="142"/>
      <x:c r="K139" s="142"/>
      <x:c r="L139" s="142"/>
      <x:c r="M139" s="142"/>
      <x:c r="N139" s="142"/>
    </x:row>
    <x:row r="140" ht="19" customHeight="1">
      <x:c r="A140" s="142"/>
      <x:c r="B140" s="142"/>
      <x:c r="C140" s="142"/>
      <x:c r="D140" s="142"/>
      <x:c r="E140" s="142"/>
      <x:c r="F140" s="142"/>
      <x:c r="G140" s="142"/>
      <x:c r="H140" s="142"/>
      <x:c r="I140" s="142"/>
      <x:c r="J140" s="142"/>
      <x:c r="K140" s="142"/>
      <x:c r="L140" s="142"/>
      <x:c r="M140" s="142"/>
      <x:c r="N140" s="142"/>
    </x:row>
    <x:row r="141" ht="19" customHeight="1">
      <x:c r="A141" s="142"/>
      <x:c r="B141" s="142"/>
      <x:c r="C141" s="142"/>
      <x:c r="D141" s="142"/>
      <x:c r="E141" s="142"/>
      <x:c r="F141" s="142"/>
      <x:c r="G141" s="142"/>
      <x:c r="H141" s="142"/>
      <x:c r="I141" s="142"/>
      <x:c r="J141" s="142"/>
      <x:c r="K141" s="142"/>
      <x:c r="L141" s="142"/>
      <x:c r="M141" s="142"/>
      <x:c r="N141" s="142"/>
    </x:row>
    <x:row r="142" ht="19" customHeight="1">
      <x:c r="A142" s="142"/>
      <x:c r="B142" s="142"/>
      <x:c r="C142" s="142"/>
      <x:c r="D142" s="142"/>
      <x:c r="E142" s="142"/>
      <x:c r="F142" s="142"/>
      <x:c r="G142" s="142"/>
      <x:c r="H142" s="142"/>
      <x:c r="I142" s="142"/>
      <x:c r="J142" s="142"/>
      <x:c r="K142" s="142"/>
      <x:c r="L142" s="142"/>
      <x:c r="M142" s="142"/>
      <x:c r="N142" s="142"/>
    </x:row>
    <x:row r="143" ht="19" customHeight="1">
      <x:c r="A143" s="142"/>
      <x:c r="B143" s="142"/>
      <x:c r="C143" s="142"/>
      <x:c r="D143" s="142"/>
      <x:c r="E143" s="142"/>
      <x:c r="F143" s="142"/>
      <x:c r="G143" s="142"/>
      <x:c r="H143" s="142"/>
      <x:c r="I143" s="142"/>
      <x:c r="J143" s="142"/>
      <x:c r="K143" s="142"/>
      <x:c r="L143" s="142"/>
      <x:c r="M143" s="142"/>
      <x:c r="N143" s="142"/>
    </x:row>
    <x:row r="144" ht="19" customHeight="1">
      <x:c r="A144" s="142"/>
      <x:c r="B144" s="142"/>
      <x:c r="C144" s="142"/>
      <x:c r="D144" s="142"/>
      <x:c r="E144" s="142"/>
      <x:c r="F144" s="142"/>
      <x:c r="G144" s="142"/>
      <x:c r="H144" s="142"/>
      <x:c r="I144" s="142"/>
      <x:c r="J144" s="142"/>
      <x:c r="K144" s="142"/>
      <x:c r="L144" s="142"/>
      <x:c r="M144" s="142"/>
      <x:c r="N144" s="142"/>
    </x:row>
    <x:row r="145" ht="19" customHeight="1">
      <x:c r="A145" s="142"/>
      <x:c r="B145" s="142"/>
      <x:c r="C145" s="142"/>
      <x:c r="D145" s="142"/>
      <x:c r="E145" s="142"/>
      <x:c r="F145" s="142"/>
      <x:c r="G145" s="142"/>
      <x:c r="H145" s="142"/>
      <x:c r="I145" s="142"/>
      <x:c r="J145" s="142"/>
      <x:c r="K145" s="142"/>
      <x:c r="L145" s="142"/>
      <x:c r="M145" s="142"/>
      <x:c r="N145" s="142"/>
    </x:row>
    <x:row r="146" ht="19" customHeight="1">
      <x:c r="A146" s="142"/>
      <x:c r="B146" s="142"/>
      <x:c r="C146" s="142"/>
      <x:c r="D146" s="142"/>
      <x:c r="E146" s="142"/>
      <x:c r="F146" s="142"/>
      <x:c r="G146" s="142"/>
      <x:c r="H146" s="142"/>
      <x:c r="I146" s="142"/>
      <x:c r="J146" s="142"/>
      <x:c r="K146" s="142"/>
      <x:c r="L146" s="142"/>
      <x:c r="M146" s="142"/>
      <x:c r="N146" s="142"/>
    </x:row>
    <x:row r="147" ht="19" customHeight="1">
      <x:c r="A147" s="142"/>
      <x:c r="B147" s="142"/>
      <x:c r="C147" s="142"/>
      <x:c r="D147" s="142"/>
      <x:c r="E147" s="142"/>
      <x:c r="F147" s="142"/>
      <x:c r="G147" s="142"/>
      <x:c r="H147" s="142"/>
      <x:c r="I147" s="142"/>
      <x:c r="J147" s="142"/>
      <x:c r="K147" s="142"/>
      <x:c r="L147" s="142"/>
      <x:c r="M147" s="142"/>
      <x:c r="N147" s="142"/>
    </x:row>
    <x:row r="148" ht="19" customHeight="1">
      <x:c r="A148" s="142"/>
      <x:c r="B148" s="142"/>
      <x:c r="C148" s="142"/>
      <x:c r="D148" s="142"/>
      <x:c r="E148" s="142"/>
      <x:c r="F148" s="142"/>
      <x:c r="G148" s="142"/>
      <x:c r="H148" s="142"/>
      <x:c r="I148" s="142"/>
      <x:c r="J148" s="142"/>
      <x:c r="K148" s="142"/>
      <x:c r="L148" s="142"/>
      <x:c r="M148" s="142"/>
      <x:c r="N148" s="142"/>
    </x:row>
    <x:row r="149" ht="19" customHeight="1">
      <x:c r="A149" s="142"/>
      <x:c r="B149" s="142"/>
      <x:c r="C149" s="142"/>
      <x:c r="D149" s="142"/>
      <x:c r="E149" s="142"/>
      <x:c r="F149" s="142"/>
      <x:c r="G149" s="142"/>
      <x:c r="H149" s="142"/>
      <x:c r="I149" s="142"/>
      <x:c r="J149" s="142"/>
      <x:c r="K149" s="142"/>
      <x:c r="L149" s="142"/>
      <x:c r="M149" s="142"/>
      <x:c r="N149" s="142"/>
    </x:row>
    <x:row r="150" ht="19" customHeight="1">
      <x:c r="A150" s="142"/>
      <x:c r="B150" s="142"/>
      <x:c r="C150" s="142"/>
      <x:c r="D150" s="142"/>
      <x:c r="E150" s="142"/>
      <x:c r="F150" s="142"/>
      <x:c r="G150" s="142"/>
      <x:c r="H150" s="142"/>
      <x:c r="I150" s="142"/>
      <x:c r="J150" s="142"/>
      <x:c r="K150" s="142"/>
      <x:c r="L150" s="142"/>
      <x:c r="M150" s="142"/>
      <x:c r="N150" s="142"/>
    </x:row>
    <x:row r="151" ht="19" customHeight="1">
      <x:c r="A151" s="142"/>
      <x:c r="B151" s="142"/>
      <x:c r="C151" s="142"/>
      <x:c r="D151" s="142"/>
      <x:c r="E151" s="142"/>
      <x:c r="F151" s="142"/>
      <x:c r="G151" s="142"/>
      <x:c r="H151" s="142"/>
      <x:c r="I151" s="142"/>
      <x:c r="J151" s="142"/>
      <x:c r="K151" s="142"/>
      <x:c r="L151" s="142"/>
      <x:c r="M151" s="142"/>
      <x:c r="N151" s="142"/>
    </x:row>
    <x:row r="152" ht="19" customHeight="1">
      <x:c r="A152" s="142"/>
      <x:c r="B152" s="142"/>
      <x:c r="C152" s="142"/>
      <x:c r="D152" s="142"/>
      <x:c r="E152" s="142"/>
      <x:c r="F152" s="142"/>
      <x:c r="G152" s="142"/>
      <x:c r="H152" s="142"/>
      <x:c r="I152" s="142"/>
      <x:c r="J152" s="142"/>
      <x:c r="K152" s="142"/>
      <x:c r="L152" s="142"/>
      <x:c r="M152" s="142"/>
      <x:c r="N152" s="142"/>
    </x:row>
    <x:row r="153" ht="19" customHeight="1">
      <x:c r="A153" s="142"/>
      <x:c r="B153" s="142"/>
      <x:c r="C153" s="142"/>
      <x:c r="D153" s="142"/>
      <x:c r="E153" s="142"/>
      <x:c r="F153" s="142"/>
      <x:c r="G153" s="142"/>
      <x:c r="H153" s="142"/>
      <x:c r="I153" s="142"/>
      <x:c r="J153" s="142"/>
      <x:c r="K153" s="142"/>
      <x:c r="L153" s="142"/>
      <x:c r="M153" s="142"/>
      <x:c r="N153" s="142"/>
    </x:row>
    <x:row r="154" ht="19" customHeight="1">
      <x:c r="A154" s="142"/>
      <x:c r="B154" s="142"/>
      <x:c r="C154" s="142"/>
      <x:c r="D154" s="142"/>
      <x:c r="E154" s="142"/>
      <x:c r="F154" s="142"/>
      <x:c r="G154" s="142"/>
      <x:c r="H154" s="142"/>
      <x:c r="I154" s="142"/>
      <x:c r="J154" s="142"/>
      <x:c r="K154" s="142"/>
      <x:c r="L154" s="142"/>
      <x:c r="M154" s="142"/>
      <x:c r="N154" s="142"/>
    </x:row>
    <x:row r="155" ht="19" customHeight="1">
      <x:c r="A155" s="142"/>
      <x:c r="B155" s="142"/>
      <x:c r="C155" s="142"/>
      <x:c r="D155" s="142"/>
      <x:c r="E155" s="142"/>
      <x:c r="F155" s="142"/>
      <x:c r="G155" s="142"/>
      <x:c r="H155" s="142"/>
      <x:c r="I155" s="142"/>
      <x:c r="J155" s="142"/>
      <x:c r="K155" s="142"/>
      <x:c r="L155" s="142"/>
      <x:c r="M155" s="142"/>
      <x:c r="N155" s="142"/>
    </x:row>
    <x:row r="156" ht="19" customHeight="1">
      <x:c r="A156" s="142"/>
      <x:c r="B156" s="142"/>
      <x:c r="C156" s="142"/>
      <x:c r="D156" s="142"/>
      <x:c r="E156" s="142"/>
      <x:c r="F156" s="142"/>
      <x:c r="G156" s="142"/>
      <x:c r="H156" s="142"/>
      <x:c r="I156" s="142"/>
      <x:c r="J156" s="142"/>
      <x:c r="K156" s="142"/>
      <x:c r="L156" s="142"/>
      <x:c r="M156" s="142"/>
      <x:c r="N156" s="142"/>
    </x:row>
    <x:row r="157" ht="19" customHeight="1">
      <x:c r="A157" s="142"/>
      <x:c r="B157" s="142"/>
      <x:c r="C157" s="142"/>
      <x:c r="D157" s="142"/>
      <x:c r="E157" s="142"/>
      <x:c r="F157" s="142"/>
      <x:c r="G157" s="142"/>
      <x:c r="H157" s="142"/>
      <x:c r="I157" s="142"/>
      <x:c r="J157" s="142"/>
      <x:c r="K157" s="142"/>
      <x:c r="L157" s="142"/>
      <x:c r="M157" s="142"/>
      <x:c r="N157" s="142"/>
    </x:row>
    <x:row r="158" ht="19" customHeight="1">
      <x:c r="A158" s="142"/>
      <x:c r="B158" s="142"/>
      <x:c r="C158" s="142"/>
      <x:c r="D158" s="142"/>
      <x:c r="E158" s="142"/>
      <x:c r="F158" s="142"/>
      <x:c r="G158" s="142"/>
      <x:c r="H158" s="142"/>
      <x:c r="I158" s="142"/>
      <x:c r="J158" s="142"/>
      <x:c r="K158" s="142"/>
      <x:c r="L158" s="142"/>
      <x:c r="M158" s="142"/>
      <x:c r="N158" s="142"/>
    </x:row>
    <x:row r="159" ht="19" customHeight="1">
      <x:c r="A159" s="142"/>
      <x:c r="B159" s="142"/>
      <x:c r="C159" s="142"/>
      <x:c r="D159" s="142"/>
      <x:c r="E159" s="142"/>
      <x:c r="F159" s="142"/>
      <x:c r="G159" s="142"/>
      <x:c r="H159" s="142"/>
      <x:c r="I159" s="142"/>
      <x:c r="J159" s="142"/>
      <x:c r="K159" s="142"/>
      <x:c r="L159" s="142"/>
      <x:c r="M159" s="142"/>
      <x:c r="N159" s="142"/>
    </x:row>
    <x:row r="160" ht="19" customHeight="1">
      <x:c r="A160" s="142"/>
      <x:c r="B160" s="142"/>
      <x:c r="C160" s="142"/>
      <x:c r="D160" s="142"/>
      <x:c r="E160" s="142"/>
      <x:c r="F160" s="142"/>
      <x:c r="G160" s="142"/>
      <x:c r="H160" s="142"/>
      <x:c r="I160" s="142"/>
      <x:c r="J160" s="142"/>
      <x:c r="K160" s="142"/>
      <x:c r="L160" s="142"/>
      <x:c r="M160" s="142"/>
      <x:c r="N160" s="142"/>
    </x:row>
    <x:row r="161" ht="19" customHeight="1">
      <x:c r="A161" s="142"/>
      <x:c r="B161" s="142"/>
      <x:c r="C161" s="142"/>
      <x:c r="D161" s="142"/>
      <x:c r="E161" s="142"/>
      <x:c r="F161" s="142"/>
      <x:c r="G161" s="142"/>
      <x:c r="H161" s="142"/>
      <x:c r="I161" s="142"/>
      <x:c r="J161" s="142"/>
      <x:c r="K161" s="142"/>
      <x:c r="L161" s="142"/>
      <x:c r="M161" s="142"/>
      <x:c r="N161" s="142"/>
    </x:row>
    <x:row r="162" ht="19" customHeight="1">
      <x:c r="A162" s="142"/>
      <x:c r="B162" s="142"/>
      <x:c r="C162" s="142"/>
      <x:c r="D162" s="142"/>
      <x:c r="E162" s="142"/>
      <x:c r="F162" s="142"/>
      <x:c r="G162" s="142"/>
      <x:c r="H162" s="142"/>
      <x:c r="I162" s="142"/>
      <x:c r="J162" s="142"/>
      <x:c r="K162" s="142"/>
      <x:c r="L162" s="142"/>
      <x:c r="M162" s="142"/>
      <x:c r="N162" s="142"/>
    </x:row>
    <x:row r="163" ht="19" customHeight="1">
      <x:c r="A163" s="142"/>
      <x:c r="B163" s="142"/>
      <x:c r="C163" s="142"/>
      <x:c r="D163" s="142"/>
      <x:c r="E163" s="142"/>
      <x:c r="F163" s="142"/>
      <x:c r="G163" s="142"/>
      <x:c r="H163" s="142"/>
      <x:c r="I163" s="142"/>
      <x:c r="J163" s="142"/>
      <x:c r="K163" s="142"/>
      <x:c r="L163" s="142"/>
      <x:c r="M163" s="142"/>
      <x:c r="N163" s="142"/>
    </x:row>
    <x:row r="164" ht="19" customHeight="1">
      <x:c r="A164" s="142"/>
      <x:c r="B164" s="142"/>
      <x:c r="C164" s="142"/>
      <x:c r="D164" s="142"/>
      <x:c r="E164" s="142"/>
      <x:c r="F164" s="142"/>
      <x:c r="G164" s="142"/>
      <x:c r="H164" s="142"/>
      <x:c r="I164" s="142"/>
      <x:c r="J164" s="142"/>
      <x:c r="K164" s="142"/>
      <x:c r="L164" s="142"/>
      <x:c r="M164" s="142"/>
      <x:c r="N164" s="142"/>
    </x:row>
    <x:row r="165" ht="19" customHeight="1">
      <x:c r="A165" s="142"/>
      <x:c r="B165" s="142"/>
      <x:c r="C165" s="142"/>
      <x:c r="D165" s="142"/>
      <x:c r="E165" s="142"/>
      <x:c r="F165" s="142"/>
      <x:c r="G165" s="142"/>
      <x:c r="H165" s="142"/>
      <x:c r="I165" s="142"/>
      <x:c r="J165" s="142"/>
      <x:c r="K165" s="142"/>
      <x:c r="L165" s="142"/>
      <x:c r="M165" s="142"/>
      <x:c r="N165" s="142"/>
    </x:row>
    <x:row r="166" ht="19" customHeight="1">
      <x:c r="A166" s="142"/>
      <x:c r="B166" s="142"/>
      <x:c r="C166" s="142"/>
      <x:c r="D166" s="142"/>
      <x:c r="E166" s="142"/>
      <x:c r="F166" s="142"/>
      <x:c r="G166" s="142"/>
      <x:c r="H166" s="142"/>
      <x:c r="I166" s="142"/>
      <x:c r="J166" s="142"/>
      <x:c r="K166" s="142"/>
      <x:c r="L166" s="142"/>
      <x:c r="M166" s="142"/>
      <x:c r="N166" s="142"/>
    </x:row>
    <x:row r="167" ht="19" customHeight="1">
      <x:c r="A167" s="142"/>
      <x:c r="B167" s="142"/>
      <x:c r="C167" s="142"/>
      <x:c r="D167" s="142"/>
      <x:c r="E167" s="142"/>
      <x:c r="F167" s="142"/>
      <x:c r="G167" s="142"/>
      <x:c r="H167" s="142"/>
      <x:c r="I167" s="142"/>
      <x:c r="J167" s="142"/>
      <x:c r="K167" s="142"/>
      <x:c r="L167" s="142"/>
      <x:c r="M167" s="142"/>
      <x:c r="N167" s="142"/>
    </x:row>
    <x:row r="168" ht="19" customHeight="1">
      <x:c r="A168" s="142"/>
      <x:c r="B168" s="142"/>
      <x:c r="C168" s="142"/>
      <x:c r="D168" s="142"/>
      <x:c r="E168" s="142"/>
      <x:c r="F168" s="142"/>
      <x:c r="G168" s="142"/>
      <x:c r="H168" s="142"/>
      <x:c r="I168" s="142"/>
      <x:c r="J168" s="142"/>
      <x:c r="K168" s="142"/>
      <x:c r="L168" s="142"/>
      <x:c r="M168" s="142"/>
      <x:c r="N168" s="142"/>
    </x:row>
    <x:row r="169" ht="19" customHeight="1">
      <x:c r="A169" s="142"/>
      <x:c r="B169" s="142"/>
      <x:c r="C169" s="142"/>
      <x:c r="D169" s="142"/>
      <x:c r="E169" s="142"/>
      <x:c r="F169" s="142"/>
      <x:c r="G169" s="142"/>
      <x:c r="H169" s="142"/>
      <x:c r="I169" s="142"/>
      <x:c r="J169" s="142"/>
      <x:c r="K169" s="142"/>
      <x:c r="L169" s="142"/>
      <x:c r="M169" s="142"/>
      <x:c r="N169" s="142"/>
    </x:row>
    <x:row r="170" ht="19" customHeight="1">
      <x:c r="A170" s="142"/>
      <x:c r="B170" s="142"/>
      <x:c r="C170" s="142"/>
      <x:c r="D170" s="142"/>
      <x:c r="E170" s="142"/>
      <x:c r="F170" s="142"/>
      <x:c r="G170" s="142"/>
      <x:c r="H170" s="142"/>
      <x:c r="I170" s="142"/>
      <x:c r="J170" s="142"/>
      <x:c r="K170" s="142"/>
      <x:c r="L170" s="142"/>
      <x:c r="M170" s="142"/>
      <x:c r="N170" s="142"/>
    </x:row>
    <x:row r="171" ht="19" customHeight="1">
      <x:c r="A171" s="142"/>
      <x:c r="B171" s="142"/>
      <x:c r="C171" s="142"/>
      <x:c r="D171" s="142"/>
      <x:c r="E171" s="142"/>
      <x:c r="F171" s="142"/>
      <x:c r="G171" s="142"/>
      <x:c r="H171" s="142"/>
      <x:c r="I171" s="142"/>
      <x:c r="J171" s="142"/>
      <x:c r="K171" s="142"/>
      <x:c r="L171" s="142"/>
      <x:c r="M171" s="142"/>
      <x:c r="N171" s="142"/>
    </x:row>
    <x:row r="172" ht="19" customHeight="1">
      <x:c r="A172" s="142"/>
      <x:c r="B172" s="142"/>
      <x:c r="C172" s="142"/>
      <x:c r="D172" s="142"/>
      <x:c r="E172" s="142"/>
      <x:c r="F172" s="142"/>
      <x:c r="G172" s="142"/>
      <x:c r="H172" s="142"/>
      <x:c r="I172" s="142"/>
      <x:c r="J172" s="142"/>
      <x:c r="K172" s="142"/>
      <x:c r="L172" s="142"/>
      <x:c r="M172" s="142"/>
      <x:c r="N172" s="142"/>
    </x:row>
    <x:row r="173" ht="19" customHeight="1">
      <x:c r="A173" s="142"/>
      <x:c r="B173" s="142"/>
      <x:c r="C173" s="142"/>
      <x:c r="D173" s="142"/>
      <x:c r="E173" s="142"/>
      <x:c r="F173" s="142"/>
      <x:c r="G173" s="142"/>
      <x:c r="H173" s="142"/>
      <x:c r="I173" s="142"/>
      <x:c r="J173" s="142"/>
      <x:c r="K173" s="142"/>
      <x:c r="L173" s="142"/>
      <x:c r="M173" s="142"/>
      <x:c r="N173" s="142"/>
    </x:row>
    <x:row r="174" ht="19" customHeight="1">
      <x:c r="A174" s="142"/>
      <x:c r="B174" s="142"/>
      <x:c r="C174" s="142"/>
      <x:c r="D174" s="142"/>
      <x:c r="E174" s="142"/>
      <x:c r="F174" s="142"/>
      <x:c r="G174" s="142"/>
      <x:c r="H174" s="142"/>
      <x:c r="I174" s="142"/>
      <x:c r="J174" s="142"/>
      <x:c r="K174" s="142"/>
      <x:c r="L174" s="142"/>
      <x:c r="M174" s="142"/>
      <x:c r="N174" s="142"/>
    </x:row>
    <x:row r="175" ht="19" customHeight="1">
      <x:c r="A175" s="142"/>
      <x:c r="B175" s="142"/>
      <x:c r="C175" s="142"/>
      <x:c r="D175" s="142"/>
      <x:c r="E175" s="142"/>
      <x:c r="F175" s="142"/>
      <x:c r="G175" s="142"/>
      <x:c r="H175" s="142"/>
      <x:c r="I175" s="142"/>
      <x:c r="J175" s="142"/>
      <x:c r="K175" s="142"/>
      <x:c r="L175" s="142"/>
      <x:c r="M175" s="142"/>
      <x:c r="N175" s="142"/>
    </x:row>
    <x:row r="176" ht="19" customHeight="1">
      <x:c r="A176" s="142"/>
      <x:c r="B176" s="142"/>
      <x:c r="C176" s="142"/>
      <x:c r="D176" s="142"/>
      <x:c r="E176" s="142"/>
      <x:c r="F176" s="142"/>
      <x:c r="G176" s="142"/>
      <x:c r="H176" s="142"/>
      <x:c r="I176" s="142"/>
      <x:c r="J176" s="142"/>
      <x:c r="K176" s="142"/>
      <x:c r="L176" s="142"/>
      <x:c r="M176" s="142"/>
      <x:c r="N176" s="142"/>
    </x:row>
    <x:row r="177" ht="19" customHeight="1">
      <x:c r="A177" s="142"/>
      <x:c r="B177" s="142"/>
      <x:c r="C177" s="142"/>
      <x:c r="D177" s="142"/>
      <x:c r="E177" s="142"/>
      <x:c r="F177" s="142"/>
      <x:c r="G177" s="142"/>
      <x:c r="H177" s="142"/>
      <x:c r="I177" s="142"/>
      <x:c r="J177" s="142"/>
      <x:c r="K177" s="142"/>
      <x:c r="L177" s="142"/>
      <x:c r="M177" s="142"/>
      <x:c r="N177" s="142"/>
    </x:row>
    <x:row r="178" ht="19" customHeight="1">
      <x:c r="A178" s="142"/>
      <x:c r="B178" s="142"/>
      <x:c r="C178" s="142"/>
      <x:c r="D178" s="142"/>
      <x:c r="E178" s="142"/>
      <x:c r="F178" s="142"/>
      <x:c r="G178" s="142"/>
      <x:c r="H178" s="142"/>
      <x:c r="I178" s="142"/>
      <x:c r="J178" s="142"/>
      <x:c r="K178" s="142"/>
      <x:c r="L178" s="142"/>
      <x:c r="M178" s="142"/>
      <x:c r="N178" s="142"/>
    </x:row>
    <x:row r="179" ht="19" customHeight="1">
      <x:c r="A179" s="142"/>
      <x:c r="B179" s="142"/>
      <x:c r="C179" s="142"/>
      <x:c r="D179" s="142"/>
      <x:c r="E179" s="142"/>
      <x:c r="F179" s="142"/>
      <x:c r="G179" s="142"/>
      <x:c r="H179" s="142"/>
      <x:c r="I179" s="142"/>
      <x:c r="J179" s="142"/>
      <x:c r="K179" s="142"/>
      <x:c r="L179" s="142"/>
      <x:c r="M179" s="142"/>
      <x:c r="N179" s="142"/>
    </x:row>
    <x:row r="180" ht="19" customHeight="1">
      <x:c r="A180" s="142"/>
      <x:c r="B180" s="142"/>
      <x:c r="C180" s="142"/>
      <x:c r="D180" s="142"/>
      <x:c r="E180" s="142"/>
      <x:c r="F180" s="142"/>
      <x:c r="G180" s="142"/>
      <x:c r="H180" s="142"/>
      <x:c r="I180" s="142"/>
      <x:c r="J180" s="142"/>
      <x:c r="K180" s="142"/>
      <x:c r="L180" s="142"/>
      <x:c r="M180" s="142"/>
      <x:c r="N180" s="142"/>
    </x:row>
    <x:row r="181" ht="19" customHeight="1">
      <x:c r="A181" s="142"/>
      <x:c r="B181" s="142"/>
      <x:c r="C181" s="142"/>
      <x:c r="D181" s="142"/>
      <x:c r="E181" s="142"/>
      <x:c r="F181" s="142"/>
      <x:c r="G181" s="142"/>
      <x:c r="H181" s="142"/>
      <x:c r="I181" s="142"/>
      <x:c r="J181" s="142"/>
      <x:c r="K181" s="142"/>
      <x:c r="L181" s="142"/>
      <x:c r="M181" s="142"/>
      <x:c r="N181" s="142"/>
    </x:row>
    <x:row r="182" ht="19" customHeight="1">
      <x:c r="A182" s="142"/>
      <x:c r="B182" s="142"/>
      <x:c r="C182" s="142"/>
      <x:c r="D182" s="142"/>
      <x:c r="E182" s="142"/>
      <x:c r="F182" s="142"/>
      <x:c r="G182" s="142"/>
      <x:c r="H182" s="142"/>
      <x:c r="I182" s="142"/>
      <x:c r="J182" s="142"/>
      <x:c r="K182" s="142"/>
      <x:c r="L182" s="142"/>
      <x:c r="M182" s="142"/>
      <x:c r="N182" s="142"/>
    </x:row>
    <x:row r="183" ht="19" customHeight="1">
      <x:c r="A183" s="142"/>
      <x:c r="B183" s="142"/>
      <x:c r="C183" s="142"/>
      <x:c r="D183" s="142"/>
      <x:c r="E183" s="142"/>
      <x:c r="F183" s="142"/>
      <x:c r="G183" s="142"/>
      <x:c r="H183" s="142"/>
      <x:c r="I183" s="142"/>
      <x:c r="J183" s="142"/>
      <x:c r="K183" s="142"/>
      <x:c r="L183" s="142"/>
      <x:c r="M183" s="142"/>
      <x:c r="N183" s="142"/>
    </x:row>
    <x:row r="184" ht="19" customHeight="1">
      <x:c r="A184" s="142"/>
      <x:c r="B184" s="142"/>
      <x:c r="C184" s="142"/>
      <x:c r="D184" s="142"/>
      <x:c r="E184" s="142"/>
      <x:c r="F184" s="142"/>
      <x:c r="G184" s="142"/>
      <x:c r="H184" s="142"/>
      <x:c r="I184" s="142"/>
      <x:c r="J184" s="142"/>
      <x:c r="K184" s="142"/>
      <x:c r="L184" s="142"/>
      <x:c r="M184" s="142"/>
      <x:c r="N184" s="142"/>
    </x:row>
    <x:row r="185" ht="19" customHeight="1">
      <x:c r="A185" s="142"/>
      <x:c r="B185" s="142"/>
      <x:c r="C185" s="142"/>
      <x:c r="D185" s="142"/>
      <x:c r="E185" s="142"/>
      <x:c r="F185" s="142"/>
      <x:c r="G185" s="142"/>
      <x:c r="H185" s="142"/>
      <x:c r="I185" s="142"/>
      <x:c r="J185" s="142"/>
      <x:c r="K185" s="142"/>
      <x:c r="L185" s="142"/>
      <x:c r="M185" s="142"/>
      <x:c r="N185" s="142"/>
    </x:row>
    <x:row r="186" ht="19" customHeight="1">
      <x:c r="A186" s="142"/>
      <x:c r="B186" s="142"/>
      <x:c r="C186" s="142"/>
      <x:c r="D186" s="142"/>
      <x:c r="E186" s="142"/>
      <x:c r="F186" s="142"/>
      <x:c r="G186" s="142"/>
      <x:c r="H186" s="142"/>
      <x:c r="I186" s="142"/>
      <x:c r="J186" s="142"/>
      <x:c r="K186" s="142"/>
      <x:c r="L186" s="142"/>
      <x:c r="M186" s="142"/>
      <x:c r="N186" s="142"/>
    </x:row>
    <x:row r="187" ht="19" customHeight="1">
      <x:c r="A187" s="142"/>
      <x:c r="B187" s="142"/>
      <x:c r="C187" s="142"/>
      <x:c r="D187" s="142"/>
      <x:c r="E187" s="142"/>
      <x:c r="F187" s="142"/>
      <x:c r="G187" s="142"/>
      <x:c r="H187" s="142"/>
      <x:c r="I187" s="142"/>
      <x:c r="J187" s="142"/>
      <x:c r="K187" s="142"/>
      <x:c r="L187" s="142"/>
      <x:c r="M187" s="142"/>
      <x:c r="N187" s="142"/>
    </x:row>
    <x:row r="188" ht="19" customHeight="1">
      <x:c r="A188" s="142"/>
      <x:c r="B188" s="142"/>
      <x:c r="C188" s="142"/>
      <x:c r="D188" s="142"/>
      <x:c r="E188" s="142"/>
      <x:c r="F188" s="142"/>
      <x:c r="G188" s="142"/>
      <x:c r="H188" s="142"/>
      <x:c r="I188" s="142"/>
      <x:c r="J188" s="142"/>
      <x:c r="K188" s="142"/>
      <x:c r="L188" s="142"/>
      <x:c r="M188" s="142"/>
      <x:c r="N188" s="142"/>
    </x:row>
    <x:row r="189" ht="19" customHeight="1">
      <x:c r="A189" s="142"/>
      <x:c r="B189" s="142"/>
      <x:c r="C189" s="142"/>
      <x:c r="D189" s="142"/>
      <x:c r="E189" s="142"/>
      <x:c r="F189" s="142"/>
      <x:c r="G189" s="142"/>
      <x:c r="H189" s="142"/>
      <x:c r="I189" s="142"/>
      <x:c r="J189" s="142"/>
      <x:c r="K189" s="142"/>
      <x:c r="L189" s="142"/>
      <x:c r="M189" s="142"/>
      <x:c r="N189" s="142"/>
    </x:row>
    <x:row r="190" ht="19" customHeight="1">
      <x:c r="A190" s="142"/>
      <x:c r="B190" s="142"/>
      <x:c r="C190" s="142"/>
      <x:c r="D190" s="142"/>
      <x:c r="E190" s="142"/>
      <x:c r="F190" s="142"/>
      <x:c r="G190" s="142"/>
      <x:c r="H190" s="142"/>
      <x:c r="I190" s="142"/>
      <x:c r="J190" s="142"/>
      <x:c r="K190" s="142"/>
      <x:c r="L190" s="142"/>
      <x:c r="M190" s="142"/>
      <x:c r="N190" s="142"/>
    </x:row>
    <x:row r="191" ht="19" customHeight="1">
      <x:c r="A191" s="142"/>
      <x:c r="B191" s="142"/>
      <x:c r="C191" s="142"/>
      <x:c r="D191" s="142"/>
      <x:c r="E191" s="142"/>
      <x:c r="F191" s="142"/>
      <x:c r="G191" s="142"/>
      <x:c r="H191" s="142"/>
      <x:c r="I191" s="142"/>
      <x:c r="J191" s="142"/>
      <x:c r="K191" s="142"/>
      <x:c r="L191" s="142"/>
      <x:c r="M191" s="142"/>
      <x:c r="N191" s="142"/>
    </x:row>
    <x:row r="192" ht="19" customHeight="1">
      <x:c r="A192" s="142"/>
      <x:c r="B192" s="142"/>
      <x:c r="C192" s="142"/>
      <x:c r="D192" s="142"/>
      <x:c r="E192" s="142"/>
      <x:c r="F192" s="142"/>
      <x:c r="G192" s="142"/>
      <x:c r="H192" s="142"/>
      <x:c r="I192" s="142"/>
      <x:c r="J192" s="142"/>
      <x:c r="K192" s="142"/>
      <x:c r="L192" s="142"/>
      <x:c r="M192" s="142"/>
      <x:c r="N192" s="142"/>
    </x:row>
    <x:row r="193" ht="19" customHeight="1">
      <x:c r="A193" s="142"/>
      <x:c r="B193" s="142"/>
      <x:c r="C193" s="142"/>
      <x:c r="D193" s="142"/>
      <x:c r="E193" s="142"/>
      <x:c r="F193" s="142"/>
      <x:c r="G193" s="142"/>
      <x:c r="H193" s="142"/>
      <x:c r="I193" s="142"/>
      <x:c r="J193" s="142"/>
      <x:c r="K193" s="142"/>
      <x:c r="L193" s="142"/>
      <x:c r="M193" s="142"/>
      <x:c r="N193" s="142"/>
    </x:row>
    <x:row r="194" ht="19" customHeight="1">
      <x:c r="A194" s="142"/>
      <x:c r="B194" s="142"/>
      <x:c r="C194" s="142"/>
      <x:c r="D194" s="142"/>
      <x:c r="E194" s="142"/>
      <x:c r="F194" s="142"/>
      <x:c r="G194" s="142"/>
      <x:c r="H194" s="142"/>
      <x:c r="I194" s="142"/>
      <x:c r="J194" s="142"/>
      <x:c r="K194" s="142"/>
      <x:c r="L194" s="142"/>
      <x:c r="M194" s="142"/>
      <x:c r="N194" s="142"/>
    </x:row>
    <x:row r="195" ht="19" customHeight="1">
      <x:c r="A195" s="142"/>
      <x:c r="B195" s="142"/>
      <x:c r="C195" s="142"/>
      <x:c r="D195" s="142"/>
      <x:c r="E195" s="142"/>
      <x:c r="F195" s="142"/>
      <x:c r="G195" s="142"/>
      <x:c r="H195" s="142"/>
      <x:c r="I195" s="142"/>
      <x:c r="J195" s="142"/>
      <x:c r="K195" s="142"/>
      <x:c r="L195" s="142"/>
      <x:c r="M195" s="142"/>
      <x:c r="N195" s="142"/>
    </x:row>
    <x:row r="196" ht="19" customHeight="1">
      <x:c r="A196" s="142"/>
      <x:c r="B196" s="142"/>
      <x:c r="C196" s="142"/>
      <x:c r="D196" s="142"/>
      <x:c r="E196" s="142"/>
      <x:c r="F196" s="142"/>
      <x:c r="G196" s="142"/>
      <x:c r="H196" s="142"/>
      <x:c r="I196" s="142"/>
      <x:c r="J196" s="142"/>
      <x:c r="K196" s="142"/>
      <x:c r="L196" s="142"/>
      <x:c r="M196" s="142"/>
      <x:c r="N196" s="142"/>
    </x:row>
    <x:row r="197" ht="19" customHeight="1">
      <x:c r="A197" s="142"/>
      <x:c r="B197" s="142"/>
      <x:c r="C197" s="142"/>
      <x:c r="D197" s="142"/>
      <x:c r="E197" s="142"/>
      <x:c r="F197" s="142"/>
      <x:c r="G197" s="142"/>
      <x:c r="H197" s="142"/>
      <x:c r="I197" s="142"/>
      <x:c r="J197" s="142"/>
      <x:c r="K197" s="142"/>
      <x:c r="L197" s="142"/>
      <x:c r="M197" s="142"/>
      <x:c r="N197" s="142"/>
    </x:row>
    <x:row r="198" ht="19" customHeight="1">
      <x:c r="A198" s="142"/>
      <x:c r="B198" s="142"/>
      <x:c r="C198" s="142"/>
      <x:c r="D198" s="142"/>
      <x:c r="E198" s="142"/>
      <x:c r="F198" s="142"/>
      <x:c r="G198" s="142"/>
      <x:c r="H198" s="142"/>
      <x:c r="I198" s="142"/>
      <x:c r="J198" s="142"/>
      <x:c r="K198" s="142"/>
      <x:c r="L198" s="142"/>
      <x:c r="M198" s="142"/>
      <x:c r="N198" s="142"/>
    </x:row>
    <x:row r="199" ht="19" customHeight="1">
      <x:c r="A199" s="142"/>
      <x:c r="B199" s="142"/>
      <x:c r="C199" s="142"/>
      <x:c r="D199" s="142"/>
      <x:c r="E199" s="142"/>
      <x:c r="F199" s="142"/>
      <x:c r="G199" s="142"/>
      <x:c r="H199" s="142"/>
      <x:c r="I199" s="142"/>
      <x:c r="J199" s="142"/>
      <x:c r="K199" s="142"/>
      <x:c r="L199" s="142"/>
      <x:c r="M199" s="142"/>
      <x:c r="N199" s="142"/>
    </x:row>
    <x:row r="200" ht="19" customHeight="1">
      <x:c r="A200" s="142"/>
      <x:c r="B200" s="142"/>
      <x:c r="C200" s="142"/>
      <x:c r="D200" s="142"/>
      <x:c r="E200" s="142"/>
      <x:c r="F200" s="142"/>
      <x:c r="G200" s="142"/>
      <x:c r="H200" s="142"/>
      <x:c r="I200" s="142"/>
      <x:c r="J200" s="142"/>
      <x:c r="K200" s="142"/>
      <x:c r="L200" s="142"/>
      <x:c r="M200" s="142"/>
      <x:c r="N200" s="142"/>
    </x:row>
    <x:row r="201" ht="19" customHeight="1">
      <x:c r="A201" s="142"/>
      <x:c r="B201" s="142"/>
      <x:c r="C201" s="142"/>
      <x:c r="D201" s="142"/>
      <x:c r="E201" s="142"/>
      <x:c r="F201" s="142"/>
      <x:c r="G201" s="142"/>
      <x:c r="H201" s="142"/>
      <x:c r="I201" s="142"/>
      <x:c r="J201" s="142"/>
      <x:c r="K201" s="142"/>
      <x:c r="L201" s="142"/>
      <x:c r="M201" s="142"/>
      <x:c r="N201" s="142"/>
    </x:row>
    <x:row r="202" ht="19" customHeight="1">
      <x:c r="A202" s="142"/>
      <x:c r="B202" s="142"/>
      <x:c r="C202" s="142"/>
      <x:c r="D202" s="142"/>
      <x:c r="E202" s="142"/>
      <x:c r="F202" s="142"/>
      <x:c r="G202" s="142"/>
      <x:c r="H202" s="142"/>
      <x:c r="I202" s="142"/>
      <x:c r="J202" s="142"/>
      <x:c r="K202" s="142"/>
      <x:c r="L202" s="142"/>
      <x:c r="M202" s="142"/>
      <x:c r="N202" s="142"/>
    </x:row>
    <x:row r="203" ht="19" customHeight="1">
      <x:c r="A203" s="142"/>
      <x:c r="B203" s="142"/>
      <x:c r="C203" s="142"/>
      <x:c r="D203" s="142"/>
      <x:c r="E203" s="142"/>
      <x:c r="F203" s="142"/>
      <x:c r="G203" s="142"/>
      <x:c r="H203" s="142"/>
      <x:c r="I203" s="142"/>
      <x:c r="J203" s="142"/>
      <x:c r="K203" s="142"/>
      <x:c r="L203" s="142"/>
      <x:c r="M203" s="142"/>
      <x:c r="N203" s="142"/>
    </x:row>
    <x:row r="204" ht="19" customHeight="1">
      <x:c r="A204" s="142"/>
      <x:c r="B204" s="142"/>
      <x:c r="C204" s="142"/>
      <x:c r="D204" s="142"/>
      <x:c r="E204" s="142"/>
      <x:c r="F204" s="142"/>
      <x:c r="G204" s="142"/>
      <x:c r="H204" s="142"/>
      <x:c r="I204" s="142"/>
      <x:c r="J204" s="142"/>
      <x:c r="K204" s="142"/>
      <x:c r="L204" s="142"/>
      <x:c r="M204" s="142"/>
      <x:c r="N204" s="142"/>
    </x:row>
    <x:row r="205" ht="19" customHeight="1">
      <x:c r="A205" s="142"/>
      <x:c r="B205" s="142"/>
      <x:c r="C205" s="142"/>
      <x:c r="D205" s="142"/>
      <x:c r="E205" s="142"/>
      <x:c r="F205" s="142"/>
      <x:c r="G205" s="142"/>
      <x:c r="H205" s="142"/>
      <x:c r="I205" s="142"/>
      <x:c r="J205" s="142"/>
      <x:c r="K205" s="142"/>
      <x:c r="L205" s="142"/>
      <x:c r="M205" s="142"/>
      <x:c r="N205" s="142"/>
    </x:row>
    <x:row r="206" ht="19" customHeight="1">
      <x:c r="A206" s="142"/>
      <x:c r="B206" s="142"/>
      <x:c r="C206" s="142"/>
      <x:c r="D206" s="142"/>
      <x:c r="E206" s="142"/>
      <x:c r="F206" s="142"/>
      <x:c r="G206" s="142"/>
      <x:c r="H206" s="142"/>
      <x:c r="I206" s="142"/>
      <x:c r="J206" s="142"/>
      <x:c r="K206" s="142"/>
      <x:c r="L206" s="142"/>
      <x:c r="M206" s="142"/>
      <x:c r="N206" s="142"/>
    </x:row>
    <x:row r="207" ht="19" customHeight="1">
      <x:c r="A207" s="142"/>
      <x:c r="B207" s="142"/>
      <x:c r="C207" s="142"/>
      <x:c r="D207" s="142"/>
      <x:c r="E207" s="142"/>
      <x:c r="F207" s="142"/>
      <x:c r="G207" s="142"/>
      <x:c r="H207" s="142"/>
      <x:c r="I207" s="142"/>
      <x:c r="J207" s="142"/>
      <x:c r="K207" s="142"/>
      <x:c r="L207" s="142"/>
      <x:c r="M207" s="142"/>
      <x:c r="N207" s="142"/>
    </x:row>
    <x:row r="208" ht="19" customHeight="1">
      <x:c r="A208" s="142"/>
      <x:c r="B208" s="142"/>
      <x:c r="C208" s="142"/>
      <x:c r="D208" s="142"/>
      <x:c r="E208" s="142"/>
      <x:c r="F208" s="142"/>
      <x:c r="G208" s="142"/>
      <x:c r="H208" s="142"/>
      <x:c r="I208" s="142"/>
      <x:c r="J208" s="142"/>
      <x:c r="K208" s="142"/>
      <x:c r="L208" s="142"/>
      <x:c r="M208" s="142"/>
      <x:c r="N208" s="142"/>
    </x:row>
    <x:row r="209" ht="19" customHeight="1">
      <x:c r="A209" s="142"/>
      <x:c r="B209" s="142"/>
      <x:c r="C209" s="142"/>
      <x:c r="D209" s="142"/>
      <x:c r="E209" s="142"/>
      <x:c r="F209" s="142"/>
      <x:c r="G209" s="142"/>
      <x:c r="H209" s="142"/>
      <x:c r="I209" s="142"/>
      <x:c r="J209" s="142"/>
      <x:c r="K209" s="142"/>
      <x:c r="L209" s="142"/>
      <x:c r="M209" s="142"/>
      <x:c r="N209" s="142"/>
    </x:row>
    <x:row r="210" ht="19" customHeight="1">
      <x:c r="A210" s="142"/>
      <x:c r="B210" s="142"/>
      <x:c r="C210" s="142"/>
      <x:c r="D210" s="142"/>
      <x:c r="E210" s="142"/>
      <x:c r="F210" s="142"/>
      <x:c r="G210" s="142"/>
      <x:c r="H210" s="142"/>
      <x:c r="I210" s="142"/>
      <x:c r="J210" s="142"/>
      <x:c r="K210" s="142"/>
      <x:c r="L210" s="142"/>
      <x:c r="M210" s="142"/>
      <x:c r="N210" s="142"/>
    </x:row>
    <x:row r="211" ht="19" customHeight="1">
      <x:c r="A211" s="142"/>
      <x:c r="B211" s="142"/>
      <x:c r="C211" s="142"/>
      <x:c r="D211" s="142"/>
      <x:c r="E211" s="142"/>
      <x:c r="F211" s="142"/>
      <x:c r="G211" s="142"/>
      <x:c r="H211" s="142"/>
      <x:c r="I211" s="142"/>
      <x:c r="J211" s="142"/>
      <x:c r="K211" s="142"/>
      <x:c r="L211" s="142"/>
      <x:c r="M211" s="142"/>
      <x:c r="N211" s="142"/>
    </x:row>
    <x:row r="212" ht="19" customHeight="1">
      <x:c r="A212" s="142"/>
      <x:c r="B212" s="142"/>
      <x:c r="C212" s="142"/>
      <x:c r="D212" s="142"/>
      <x:c r="E212" s="142"/>
      <x:c r="F212" s="142"/>
      <x:c r="G212" s="142"/>
      <x:c r="H212" s="142"/>
      <x:c r="I212" s="142"/>
      <x:c r="J212" s="142"/>
      <x:c r="K212" s="142"/>
      <x:c r="L212" s="142"/>
      <x:c r="M212" s="142"/>
      <x:c r="N212" s="142"/>
    </x:row>
    <x:row r="213" ht="19" customHeight="1">
      <x:c r="A213" s="142"/>
      <x:c r="B213" s="142"/>
      <x:c r="C213" s="142"/>
      <x:c r="D213" s="142"/>
      <x:c r="E213" s="142"/>
      <x:c r="F213" s="142"/>
      <x:c r="G213" s="142"/>
      <x:c r="H213" s="142"/>
      <x:c r="I213" s="142"/>
      <x:c r="J213" s="142"/>
      <x:c r="K213" s="142"/>
      <x:c r="L213" s="142"/>
      <x:c r="M213" s="142"/>
      <x:c r="N213" s="142"/>
    </x:row>
    <x:row r="214" ht="19" customHeight="1">
      <x:c r="A214" s="142"/>
      <x:c r="B214" s="142"/>
      <x:c r="C214" s="142"/>
      <x:c r="D214" s="142"/>
      <x:c r="E214" s="142"/>
      <x:c r="F214" s="142"/>
      <x:c r="G214" s="142"/>
      <x:c r="H214" s="142"/>
      <x:c r="I214" s="142"/>
      <x:c r="J214" s="142"/>
      <x:c r="K214" s="142"/>
      <x:c r="L214" s="142"/>
      <x:c r="M214" s="142"/>
      <x:c r="N214" s="142"/>
    </x:row>
    <x:row r="215" ht="19" customHeight="1">
      <x:c r="A215" s="142"/>
      <x:c r="B215" s="142"/>
      <x:c r="C215" s="142"/>
      <x:c r="D215" s="142"/>
      <x:c r="E215" s="142"/>
      <x:c r="F215" s="142"/>
      <x:c r="G215" s="142"/>
      <x:c r="H215" s="142"/>
      <x:c r="I215" s="142"/>
      <x:c r="J215" s="142"/>
      <x:c r="K215" s="142"/>
      <x:c r="L215" s="142"/>
      <x:c r="M215" s="142"/>
      <x:c r="N215" s="142"/>
    </x:row>
    <x:row r="216" ht="19" customHeight="1">
      <x:c r="A216" s="142"/>
      <x:c r="B216" s="142"/>
      <x:c r="C216" s="142"/>
      <x:c r="D216" s="142"/>
      <x:c r="E216" s="142"/>
      <x:c r="F216" s="142"/>
      <x:c r="G216" s="142"/>
      <x:c r="H216" s="142"/>
      <x:c r="I216" s="142"/>
      <x:c r="J216" s="142"/>
      <x:c r="K216" s="142"/>
      <x:c r="L216" s="142"/>
      <x:c r="M216" s="142"/>
      <x:c r="N216" s="142"/>
    </x:row>
    <x:row r="217" ht="19" customHeight="1">
      <x:c r="A217" s="142"/>
      <x:c r="B217" s="142"/>
      <x:c r="C217" s="142"/>
      <x:c r="D217" s="142"/>
      <x:c r="E217" s="142"/>
      <x:c r="F217" s="142"/>
      <x:c r="G217" s="142"/>
      <x:c r="H217" s="142"/>
      <x:c r="I217" s="142"/>
      <x:c r="J217" s="142"/>
      <x:c r="K217" s="142"/>
      <x:c r="L217" s="142"/>
      <x:c r="M217" s="142"/>
      <x:c r="N217" s="142"/>
    </x:row>
    <x:row r="218" ht="19" customHeight="1">
      <x:c r="A218" s="142"/>
      <x:c r="B218" s="142"/>
      <x:c r="C218" s="142"/>
      <x:c r="D218" s="142"/>
      <x:c r="E218" s="142"/>
      <x:c r="F218" s="142"/>
      <x:c r="G218" s="142"/>
      <x:c r="H218" s="142"/>
      <x:c r="I218" s="142"/>
      <x:c r="J218" s="142"/>
      <x:c r="K218" s="142"/>
      <x:c r="L218" s="142"/>
      <x:c r="M218" s="142"/>
      <x:c r="N218" s="142"/>
    </x:row>
    <x:row r="219" ht="19" customHeight="1">
      <x:c r="A219" s="142"/>
      <x:c r="B219" s="142"/>
      <x:c r="C219" s="142"/>
      <x:c r="D219" s="142"/>
      <x:c r="E219" s="142"/>
      <x:c r="F219" s="142"/>
      <x:c r="G219" s="142"/>
      <x:c r="H219" s="142"/>
      <x:c r="I219" s="142"/>
      <x:c r="J219" s="142"/>
      <x:c r="K219" s="142"/>
      <x:c r="L219" s="142"/>
      <x:c r="M219" s="142"/>
      <x:c r="N219" s="142"/>
    </x:row>
    <x:row r="220" ht="19" customHeight="1">
      <x:c r="A220" s="142"/>
      <x:c r="B220" s="142"/>
      <x:c r="C220" s="142"/>
      <x:c r="D220" s="142"/>
      <x:c r="E220" s="142"/>
      <x:c r="F220" s="142"/>
      <x:c r="G220" s="142"/>
      <x:c r="H220" s="142"/>
      <x:c r="I220" s="142"/>
      <x:c r="J220" s="142"/>
      <x:c r="K220" s="142"/>
      <x:c r="L220" s="142"/>
      <x:c r="M220" s="142"/>
      <x:c r="N220" s="142"/>
    </x:row>
    <x:row r="221" ht="19" customHeight="1">
      <x:c r="A221" s="142"/>
      <x:c r="B221" s="142"/>
      <x:c r="C221" s="142"/>
      <x:c r="D221" s="142"/>
      <x:c r="E221" s="142"/>
      <x:c r="F221" s="142"/>
      <x:c r="G221" s="142"/>
      <x:c r="H221" s="142"/>
      <x:c r="I221" s="142"/>
      <x:c r="J221" s="142"/>
      <x:c r="K221" s="142"/>
      <x:c r="L221" s="142"/>
      <x:c r="M221" s="142"/>
      <x:c r="N221" s="142"/>
    </x:row>
    <x:row r="222" ht="19" customHeight="1">
      <x:c r="A222" s="142"/>
      <x:c r="B222" s="142"/>
      <x:c r="C222" s="142"/>
      <x:c r="D222" s="142"/>
      <x:c r="E222" s="142"/>
      <x:c r="F222" s="142"/>
      <x:c r="G222" s="142"/>
      <x:c r="H222" s="142"/>
      <x:c r="I222" s="142"/>
      <x:c r="J222" s="142"/>
      <x:c r="K222" s="142"/>
      <x:c r="L222" s="142"/>
      <x:c r="M222" s="142"/>
      <x:c r="N222" s="142"/>
    </x:row>
    <x:row r="223" ht="19" customHeight="1">
      <x:c r="A223" s="142"/>
      <x:c r="B223" s="142"/>
      <x:c r="C223" s="142"/>
      <x:c r="D223" s="142"/>
      <x:c r="E223" s="142"/>
      <x:c r="F223" s="142"/>
      <x:c r="G223" s="142"/>
      <x:c r="H223" s="142"/>
      <x:c r="I223" s="142"/>
      <x:c r="J223" s="142"/>
      <x:c r="K223" s="142"/>
      <x:c r="L223" s="142"/>
      <x:c r="M223" s="142"/>
      <x:c r="N223" s="142"/>
    </x:row>
    <x:row r="224" ht="19" customHeight="1">
      <x:c r="A224" s="142"/>
      <x:c r="B224" s="142"/>
      <x:c r="C224" s="142"/>
      <x:c r="D224" s="142"/>
      <x:c r="E224" s="142"/>
      <x:c r="F224" s="142"/>
      <x:c r="G224" s="142"/>
      <x:c r="H224" s="142"/>
      <x:c r="I224" s="142"/>
      <x:c r="J224" s="142"/>
      <x:c r="K224" s="142"/>
      <x:c r="L224" s="142"/>
      <x:c r="M224" s="142"/>
      <x:c r="N224" s="142"/>
    </x:row>
    <x:row r="225" ht="19" customHeight="1">
      <x:c r="A225" s="142"/>
      <x:c r="B225" s="142"/>
      <x:c r="C225" s="142"/>
      <x:c r="D225" s="142"/>
      <x:c r="E225" s="142"/>
      <x:c r="F225" s="142"/>
      <x:c r="G225" s="142"/>
      <x:c r="H225" s="142"/>
      <x:c r="I225" s="142"/>
      <x:c r="J225" s="142"/>
      <x:c r="K225" s="142"/>
      <x:c r="L225" s="142"/>
      <x:c r="M225" s="142"/>
      <x:c r="N225" s="142"/>
    </x:row>
    <x:row r="226" ht="19" customHeight="1">
      <x:c r="A226" s="142"/>
      <x:c r="B226" s="142"/>
      <x:c r="C226" s="142"/>
      <x:c r="D226" s="142"/>
      <x:c r="E226" s="142"/>
      <x:c r="F226" s="142"/>
      <x:c r="G226" s="142"/>
      <x:c r="H226" s="142"/>
      <x:c r="I226" s="142"/>
      <x:c r="J226" s="142"/>
      <x:c r="K226" s="142"/>
      <x:c r="L226" s="142"/>
      <x:c r="M226" s="142"/>
      <x:c r="N226" s="142"/>
    </x:row>
    <x:row r="227" ht="19" customHeight="1">
      <x:c r="A227" s="142"/>
      <x:c r="B227" s="142"/>
      <x:c r="C227" s="142"/>
      <x:c r="D227" s="142"/>
      <x:c r="E227" s="142"/>
      <x:c r="F227" s="142"/>
      <x:c r="G227" s="142"/>
      <x:c r="H227" s="142"/>
      <x:c r="I227" s="142"/>
      <x:c r="J227" s="142"/>
      <x:c r="K227" s="142"/>
      <x:c r="L227" s="142"/>
      <x:c r="M227" s="142"/>
      <x:c r="N227" s="142"/>
    </x:row>
    <x:row r="228" ht="19" customHeight="1">
      <x:c r="A228" s="142"/>
      <x:c r="B228" s="142"/>
      <x:c r="C228" s="142"/>
      <x:c r="D228" s="142"/>
      <x:c r="E228" s="142"/>
      <x:c r="F228" s="142"/>
      <x:c r="G228" s="142"/>
      <x:c r="H228" s="142"/>
      <x:c r="I228" s="142"/>
      <x:c r="J228" s="142"/>
      <x:c r="K228" s="142"/>
      <x:c r="L228" s="142"/>
      <x:c r="M228" s="142"/>
      <x:c r="N228" s="142"/>
    </x:row>
    <x:row r="229" ht="19" customHeight="1">
      <x:c r="A229" s="142"/>
      <x:c r="B229" s="142"/>
      <x:c r="C229" s="142"/>
      <x:c r="D229" s="142"/>
      <x:c r="E229" s="142"/>
      <x:c r="F229" s="142"/>
      <x:c r="G229" s="142"/>
      <x:c r="H229" s="142"/>
      <x:c r="I229" s="142"/>
      <x:c r="J229" s="142"/>
      <x:c r="K229" s="142"/>
      <x:c r="L229" s="142"/>
      <x:c r="M229" s="142"/>
      <x:c r="N229" s="142"/>
    </x:row>
    <x:row r="230" ht="19" customHeight="1">
      <x:c r="A230" s="142"/>
      <x:c r="B230" s="142"/>
      <x:c r="C230" s="142"/>
      <x:c r="D230" s="142"/>
      <x:c r="E230" s="142"/>
      <x:c r="F230" s="142"/>
      <x:c r="G230" s="142"/>
      <x:c r="H230" s="142"/>
      <x:c r="I230" s="142"/>
      <x:c r="J230" s="142"/>
      <x:c r="K230" s="142"/>
      <x:c r="L230" s="142"/>
      <x:c r="M230" s="142"/>
      <x:c r="N230" s="142"/>
    </x:row>
    <x:row r="231" ht="19" customHeight="1">
      <x:c r="A231" s="142"/>
      <x:c r="B231" s="142"/>
      <x:c r="C231" s="142"/>
      <x:c r="D231" s="142"/>
      <x:c r="E231" s="142"/>
      <x:c r="F231" s="142"/>
      <x:c r="G231" s="142"/>
      <x:c r="H231" s="142"/>
      <x:c r="I231" s="142"/>
      <x:c r="J231" s="142"/>
      <x:c r="K231" s="142"/>
      <x:c r="L231" s="142"/>
      <x:c r="M231" s="142"/>
      <x:c r="N231" s="142"/>
    </x:row>
    <x:row r="232" ht="19" customHeight="1">
      <x:c r="A232" s="142"/>
      <x:c r="B232" s="142"/>
      <x:c r="C232" s="142"/>
      <x:c r="D232" s="142"/>
      <x:c r="E232" s="142"/>
      <x:c r="F232" s="142"/>
      <x:c r="G232" s="142"/>
      <x:c r="H232" s="142"/>
      <x:c r="I232" s="142"/>
      <x:c r="J232" s="142"/>
      <x:c r="K232" s="142"/>
      <x:c r="L232" s="142"/>
      <x:c r="M232" s="142"/>
      <x:c r="N232" s="142"/>
    </x:row>
    <x:row r="233" ht="19" customHeight="1">
      <x:c r="A233" s="142"/>
      <x:c r="B233" s="142"/>
      <x:c r="C233" s="142"/>
      <x:c r="D233" s="142"/>
      <x:c r="E233" s="142"/>
      <x:c r="F233" s="142"/>
      <x:c r="G233" s="142"/>
      <x:c r="H233" s="142"/>
      <x:c r="I233" s="142"/>
      <x:c r="J233" s="142"/>
      <x:c r="K233" s="142"/>
      <x:c r="L233" s="142"/>
      <x:c r="M233" s="142"/>
      <x:c r="N233" s="142"/>
    </x:row>
    <x:row r="234" ht="19" customHeight="1">
      <x:c r="A234" s="142"/>
      <x:c r="B234" s="142"/>
      <x:c r="C234" s="142"/>
      <x:c r="D234" s="142"/>
      <x:c r="E234" s="142"/>
      <x:c r="F234" s="142"/>
      <x:c r="G234" s="142"/>
      <x:c r="H234" s="142"/>
      <x:c r="I234" s="142"/>
      <x:c r="J234" s="142"/>
      <x:c r="K234" s="142"/>
      <x:c r="L234" s="142"/>
      <x:c r="M234" s="142"/>
      <x:c r="N234" s="142"/>
    </x:row>
    <x:row r="235" ht="19" customHeight="1">
      <x:c r="A235" s="142"/>
      <x:c r="B235" s="142"/>
      <x:c r="C235" s="142"/>
      <x:c r="D235" s="142"/>
      <x:c r="E235" s="142"/>
      <x:c r="F235" s="142"/>
      <x:c r="G235" s="142"/>
      <x:c r="H235" s="142"/>
      <x:c r="I235" s="142"/>
      <x:c r="J235" s="142"/>
      <x:c r="K235" s="142"/>
      <x:c r="L235" s="142"/>
      <x:c r="M235" s="142"/>
      <x:c r="N235" s="142"/>
    </x:row>
    <x:row r="236" ht="19" customHeight="1">
      <x:c r="A236" s="142"/>
      <x:c r="B236" s="142"/>
      <x:c r="C236" s="142"/>
      <x:c r="D236" s="142"/>
      <x:c r="E236" s="142"/>
      <x:c r="F236" s="142"/>
      <x:c r="G236" s="142"/>
      <x:c r="H236" s="142"/>
      <x:c r="I236" s="142"/>
      <x:c r="J236" s="142"/>
      <x:c r="K236" s="142"/>
      <x:c r="L236" s="142"/>
      <x:c r="M236" s="142"/>
      <x:c r="N236" s="142"/>
    </x:row>
    <x:row r="237" ht="19" customHeight="1">
      <x:c r="A237" s="142"/>
      <x:c r="B237" s="142"/>
      <x:c r="C237" s="142"/>
      <x:c r="D237" s="142"/>
      <x:c r="E237" s="142"/>
      <x:c r="F237" s="142"/>
      <x:c r="G237" s="142"/>
      <x:c r="H237" s="142"/>
      <x:c r="I237" s="142"/>
      <x:c r="J237" s="142"/>
      <x:c r="K237" s="142"/>
      <x:c r="L237" s="142"/>
      <x:c r="M237" s="142"/>
      <x:c r="N237" s="142"/>
    </x:row>
    <x:row r="238" ht="19" customHeight="1">
      <x:c r="A238" s="142"/>
      <x:c r="B238" s="142"/>
      <x:c r="C238" s="142"/>
      <x:c r="D238" s="142"/>
      <x:c r="E238" s="142"/>
      <x:c r="F238" s="142"/>
      <x:c r="G238" s="142"/>
      <x:c r="H238" s="142"/>
      <x:c r="I238" s="142"/>
      <x:c r="J238" s="142"/>
      <x:c r="K238" s="142"/>
      <x:c r="L238" s="142"/>
      <x:c r="M238" s="142"/>
      <x:c r="N238" s="142"/>
    </x:row>
    <x:row r="239" ht="19" customHeight="1">
      <x:c r="A239" s="142"/>
      <x:c r="B239" s="142"/>
      <x:c r="C239" s="142"/>
      <x:c r="D239" s="142"/>
      <x:c r="E239" s="142"/>
      <x:c r="F239" s="142"/>
      <x:c r="G239" s="142"/>
      <x:c r="H239" s="142"/>
      <x:c r="I239" s="142"/>
      <x:c r="J239" s="142"/>
      <x:c r="K239" s="142"/>
      <x:c r="L239" s="142"/>
      <x:c r="M239" s="142"/>
      <x:c r="N239" s="142"/>
    </x:row>
    <x:row r="240" ht="19" customHeight="1">
      <x:c r="A240" s="142"/>
      <x:c r="B240" s="142"/>
      <x:c r="C240" s="142"/>
      <x:c r="D240" s="142"/>
      <x:c r="E240" s="142"/>
      <x:c r="F240" s="142"/>
      <x:c r="G240" s="142"/>
      <x:c r="H240" s="142"/>
      <x:c r="I240" s="142"/>
      <x:c r="J240" s="142"/>
      <x:c r="K240" s="142"/>
      <x:c r="L240" s="142"/>
      <x:c r="M240" s="142"/>
      <x:c r="N240" s="142"/>
    </x:row>
    <x:row r="241" ht="19" customHeight="1">
      <x:c r="A241" s="142"/>
      <x:c r="B241" s="142"/>
      <x:c r="C241" s="142"/>
      <x:c r="D241" s="142"/>
      <x:c r="E241" s="142"/>
      <x:c r="F241" s="142"/>
      <x:c r="G241" s="142"/>
      <x:c r="H241" s="142"/>
      <x:c r="I241" s="142"/>
      <x:c r="J241" s="142"/>
      <x:c r="K241" s="142"/>
      <x:c r="L241" s="142"/>
      <x:c r="M241" s="142"/>
      <x:c r="N241" s="142"/>
    </x:row>
    <x:row r="242" ht="19" customHeight="1">
      <x:c r="A242" s="142"/>
      <x:c r="B242" s="142"/>
      <x:c r="C242" s="142"/>
      <x:c r="D242" s="142"/>
      <x:c r="E242" s="142"/>
      <x:c r="F242" s="142"/>
      <x:c r="G242" s="142"/>
      <x:c r="H242" s="142"/>
      <x:c r="I242" s="142"/>
      <x:c r="J242" s="142"/>
      <x:c r="K242" s="142"/>
      <x:c r="L242" s="142"/>
      <x:c r="M242" s="142"/>
      <x:c r="N242" s="142"/>
    </x:row>
    <x:row r="243" ht="19" customHeight="1">
      <x:c r="A243" s="142"/>
      <x:c r="B243" s="142"/>
      <x:c r="C243" s="142"/>
      <x:c r="D243" s="142"/>
      <x:c r="E243" s="142"/>
      <x:c r="F243" s="142"/>
      <x:c r="G243" s="142"/>
      <x:c r="H243" s="142"/>
      <x:c r="I243" s="142"/>
      <x:c r="J243" s="142"/>
      <x:c r="K243" s="142"/>
      <x:c r="L243" s="142"/>
      <x:c r="M243" s="142"/>
      <x:c r="N243" s="142"/>
    </x:row>
    <x:row r="244" ht="19" customHeight="1">
      <x:c r="A244" s="142"/>
      <x:c r="B244" s="142"/>
      <x:c r="C244" s="142"/>
      <x:c r="D244" s="142"/>
      <x:c r="E244" s="142"/>
      <x:c r="F244" s="142"/>
      <x:c r="G244" s="142"/>
      <x:c r="H244" s="142"/>
      <x:c r="I244" s="142"/>
      <x:c r="J244" s="142"/>
      <x:c r="K244" s="142"/>
      <x:c r="L244" s="142"/>
      <x:c r="M244" s="142"/>
      <x:c r="N244" s="142"/>
    </x:row>
    <x:row r="245" ht="19" customHeight="1">
      <x:c r="A245" s="142"/>
      <x:c r="B245" s="142"/>
      <x:c r="C245" s="142"/>
      <x:c r="D245" s="142"/>
      <x:c r="E245" s="142"/>
      <x:c r="F245" s="142"/>
      <x:c r="G245" s="142"/>
      <x:c r="H245" s="142"/>
      <x:c r="I245" s="142"/>
      <x:c r="J245" s="142"/>
      <x:c r="K245" s="142"/>
      <x:c r="L245" s="142"/>
      <x:c r="M245" s="142"/>
      <x:c r="N245" s="142"/>
    </x:row>
    <x:row r="246" ht="19" customHeight="1">
      <x:c r="A246" s="142"/>
      <x:c r="B246" s="142"/>
      <x:c r="C246" s="142"/>
      <x:c r="D246" s="142"/>
      <x:c r="E246" s="142"/>
      <x:c r="F246" s="142"/>
      <x:c r="G246" s="142"/>
      <x:c r="H246" s="142"/>
      <x:c r="I246" s="142"/>
      <x:c r="J246" s="142"/>
      <x:c r="K246" s="142"/>
      <x:c r="L246" s="142"/>
      <x:c r="M246" s="142"/>
      <x:c r="N246" s="142"/>
    </x:row>
    <x:row r="247" ht="19" customHeight="1">
      <x:c r="A247" s="142"/>
      <x:c r="B247" s="142"/>
      <x:c r="C247" s="142"/>
      <x:c r="D247" s="142"/>
      <x:c r="E247" s="142"/>
      <x:c r="F247" s="142"/>
      <x:c r="G247" s="142"/>
      <x:c r="H247" s="142"/>
      <x:c r="I247" s="142"/>
      <x:c r="J247" s="142"/>
      <x:c r="K247" s="142"/>
      <x:c r="L247" s="142"/>
      <x:c r="M247" s="142"/>
      <x:c r="N247" s="142"/>
    </x:row>
    <x:row r="248" ht="19" customHeight="1">
      <x:c r="A248" s="142"/>
      <x:c r="B248" s="142"/>
      <x:c r="C248" s="142"/>
      <x:c r="D248" s="142"/>
      <x:c r="E248" s="142"/>
      <x:c r="F248" s="142"/>
      <x:c r="G248" s="142"/>
      <x:c r="H248" s="142"/>
      <x:c r="I248" s="142"/>
      <x:c r="J248" s="142"/>
      <x:c r="K248" s="142"/>
      <x:c r="L248" s="142"/>
      <x:c r="M248" s="142"/>
      <x:c r="N248" s="142"/>
    </x:row>
    <x:row r="249" ht="19" customHeight="1">
      <x:c r="A249" s="142"/>
      <x:c r="B249" s="142"/>
      <x:c r="C249" s="142"/>
      <x:c r="D249" s="142"/>
      <x:c r="E249" s="142"/>
      <x:c r="F249" s="142"/>
      <x:c r="G249" s="142"/>
      <x:c r="H249" s="142"/>
      <x:c r="I249" s="142"/>
      <x:c r="J249" s="142"/>
      <x:c r="K249" s="142"/>
      <x:c r="L249" s="142"/>
      <x:c r="M249" s="142"/>
      <x:c r="N249" s="142"/>
    </x:row>
    <x:row r="250" ht="19" customHeight="1">
      <x:c r="A250" s="142"/>
      <x:c r="B250" s="142"/>
      <x:c r="C250" s="142"/>
      <x:c r="D250" s="142"/>
      <x:c r="E250" s="142"/>
      <x:c r="F250" s="142"/>
      <x:c r="G250" s="142"/>
      <x:c r="H250" s="142"/>
      <x:c r="I250" s="142"/>
      <x:c r="J250" s="142"/>
      <x:c r="K250" s="142"/>
      <x:c r="L250" s="142"/>
      <x:c r="M250" s="142"/>
      <x:c r="N250" s="142"/>
    </x:row>
    <x:row r="251" ht="19" customHeight="1">
      <x:c r="A251" s="142"/>
      <x:c r="B251" s="142"/>
      <x:c r="C251" s="142"/>
      <x:c r="D251" s="142"/>
      <x:c r="E251" s="142"/>
      <x:c r="F251" s="142"/>
      <x:c r="G251" s="142"/>
      <x:c r="H251" s="142"/>
      <x:c r="I251" s="142"/>
      <x:c r="J251" s="142"/>
      <x:c r="K251" s="142"/>
      <x:c r="L251" s="142"/>
      <x:c r="M251" s="142"/>
      <x:c r="N251" s="142"/>
    </x:row>
    <x:row r="252" ht="19" customHeight="1">
      <x:c r="A252" s="142"/>
      <x:c r="B252" s="142"/>
      <x:c r="C252" s="142"/>
      <x:c r="D252" s="142"/>
      <x:c r="E252" s="142"/>
      <x:c r="F252" s="142"/>
      <x:c r="G252" s="142"/>
      <x:c r="H252" s="142"/>
      <x:c r="I252" s="142"/>
      <x:c r="J252" s="142"/>
      <x:c r="K252" s="142"/>
      <x:c r="L252" s="142"/>
      <x:c r="M252" s="142"/>
      <x:c r="N252" s="142"/>
    </x:row>
    <x:row r="253" ht="19" customHeight="1">
      <x:c r="A253" s="142"/>
      <x:c r="B253" s="142"/>
      <x:c r="C253" s="142"/>
      <x:c r="D253" s="142"/>
      <x:c r="E253" s="142"/>
      <x:c r="F253" s="142"/>
      <x:c r="G253" s="142"/>
      <x:c r="H253" s="142"/>
      <x:c r="I253" s="142"/>
      <x:c r="J253" s="142"/>
      <x:c r="K253" s="142"/>
      <x:c r="L253" s="142"/>
      <x:c r="M253" s="142"/>
      <x:c r="N253" s="142"/>
    </x:row>
    <x:row r="254" ht="19" customHeight="1">
      <x:c r="A254" s="143"/>
      <x:c r="B254" s="143"/>
      <x:c r="C254" s="143"/>
      <x:c r="D254" s="143"/>
      <x:c r="E254" s="143"/>
      <x:c r="F254" s="143"/>
      <x:c r="G254" s="143"/>
      <x:c r="H254" s="143"/>
      <x:c r="I254" s="143"/>
      <x:c r="J254" s="143"/>
      <x:c r="K254" s="143"/>
      <x:c r="L254" s="143"/>
      <x:c r="M254" s="143"/>
      <x:c r="N254" s="143"/>
    </x:row>
  </x:sheetData>
  <x:mergeCells>
    <x:mergeCell ref="A1:N1"/>
    <x:mergeCell ref="A2:N2"/>
  </x:mergeCells>
  <x:dataValidations count="3">
    <x:dataValidation type="list" sqref="B5:B254">
      <x:formula1>"PF,PJ"</x:formula1>
    </x:dataValidation>
    <x:dataValidation type="list" sqref="E5:E254">
      <x:formula1>"Autor/Compositor,Editor,Subeditor,Intérprete,Produtor Fonográfico,Músico Executante,Administrador,Herança/Sucessor,Outro"</x:formula1>
    </x:dataValidation>
    <x:dataValidation type="list" sqref="M5:M254">
      <x:formula1>"Pendente,Em validação,Liberado,Duplicidade,Bloqueado,Pendente de documentação"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603e9d4b0641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16" hidden="0" customWidth="1"/>
    <x:col min="5" max="5" width="16" hidden="0" customWidth="1"/>
    <x:col min="6" max="6" width="13" hidden="0" customWidth="1"/>
    <x:col min="7" max="7" width="16" hidden="0" customWidth="1"/>
    <x:col min="8" max="8" width="18" hidden="0" customWidth="1"/>
    <x:col min="9" max="9" width="18" hidden="0" customWidth="1"/>
    <x:col min="10" max="10" width="25" hidden="0" customWidth="1"/>
    <x:col min="11" max="11" width="24" hidden="0" customWidth="1"/>
    <x:col min="12" max="12" width="24" hidden="0" customWidth="1"/>
    <x:col min="13" max="13" width="30" hidden="0" customWidth="1"/>
    <x:col min="14" max="14" width="14" hidden="0" customWidth="1"/>
    <x:col min="15" max="15" width="18" hidden="0" customWidth="1"/>
    <x:col min="16" max="16" width="34" hidden="0" customWidth="1"/>
  </x:cols>
  <x:sheetData>
    <x:row r="1" ht="28" customHeight="1">
      <x:c r="A1" s="5" t="str">
        <x:v>OBRAS MUSICAIS — CADASTRO-MESTRE</x:v>
      </x:c>
    </x:row>
    <x:row r="2" ht="32" customHeight="1">
      <x:c r="A2" s="14" t="str">
        <x:v>Registre cada obra musical. Os campos azuis calculam automaticamente se as participações cadastradas somam 100%.</x:v>
      </x:c>
    </x:row>
    <x:row r="4" ht="34" customHeight="1">
      <x:c r="A4" s="56" t="str">
        <x:v>ID Obra</x:v>
      </x:c>
      <x:c r="B4" s="56" t="str">
        <x:v>Título da Obra</x:v>
      </x:c>
      <x:c r="C4" s="56" t="str">
        <x:v>Subtítulo</x:v>
      </x:c>
      <x:c r="D4" s="56" t="str">
        <x:v>ISWC</x:v>
      </x:c>
      <x:c r="E4" s="56" t="str">
        <x:v>Tipo da Obra</x:v>
      </x:c>
      <x:c r="F4" s="56" t="str">
        <x:v>Idioma</x:v>
      </x:c>
      <x:c r="G4" s="56" t="str">
        <x:v>Data de Composição</x:v>
      </x:c>
      <x:c r="H4" s="56" t="str">
        <x:v>Status Ecad</x:v>
      </x:c>
      <x:c r="I4" s="56" t="str">
        <x:v>Status Editora</x:v>
      </x:c>
      <x:c r="J4" s="56" t="str">
        <x:v>Editora / Administradora</x:v>
      </x:c>
      <x:c r="K4" s="56" t="str">
        <x:v>Subeditora</x:v>
      </x:c>
      <x:c r="L4" s="56" t="str">
        <x:v>Prazo / Termo de Edição</x:v>
      </x:c>
      <x:c r="M4" s="56" t="str">
        <x:v>Link / Referência</x:v>
      </x:c>
      <x:c r="N4" s="56" t="str">
        <x:v>Total de Autoria</x:v>
      </x:c>
      <x:c r="O4" s="56" t="str">
        <x:v>Validação do Split</x:v>
      </x:c>
      <x:c r="P4" s="56" t="str">
        <x:v>Observações</x:v>
      </x:c>
    </x:row>
    <x:row r="5" ht="19" customHeight="1">
      <x:c r="A5" s="141"/>
      <x:c r="B5" s="141"/>
      <x:c r="C5" s="141"/>
      <x:c r="D5" s="141"/>
      <x:c r="E5" s="141"/>
      <x:c r="F5" s="141"/>
      <x:c r="G5" s="207"/>
      <x:c r="H5" s="141"/>
      <x:c r="I5" s="141"/>
      <x:c r="J5" s="141"/>
      <x:c r="K5" s="141"/>
      <x:c r="L5" s="141"/>
      <x:c r="M5" s="141"/>
      <x:c r="N5" s="213" t="str">
        <x:f>IF(A5="","",SUMIF('PARTICIPAÇÕES OBRA'!$A$5:$A$254,A5,'PARTICIPAÇÕES OBRA'!$F$5:$F$254))</x:f>
      </x:c>
      <x:c r="O5" s="201" t="str">
        <x:f>IF(A5="","",IF(N5=1,"OK 100%","CONFERIR"))</x:f>
      </x:c>
      <x:c r="P5" s="141"/>
    </x:row>
    <x:row r="6" ht="19" customHeight="1">
      <x:c r="A6" s="142"/>
      <x:c r="B6" s="142"/>
      <x:c r="C6" s="142"/>
      <x:c r="D6" s="142"/>
      <x:c r="E6" s="142"/>
      <x:c r="F6" s="142"/>
      <x:c r="G6" s="208"/>
      <x:c r="H6" s="142"/>
      <x:c r="I6" s="142"/>
      <x:c r="J6" s="142"/>
      <x:c r="K6" s="142"/>
      <x:c r="L6" s="142"/>
      <x:c r="M6" s="142"/>
      <x:c r="N6" s="214" t="str">
        <x:f>IF(A6="","",SUMIF('PARTICIPAÇÕES OBRA'!$A$5:$A$254,A6,'PARTICIPAÇÕES OBRA'!$F$5:$F$254))</x:f>
      </x:c>
      <x:c r="O6" s="202" t="str">
        <x:f>IF(A6="","",IF(N6=1,"OK 100%","CONFERIR"))</x:f>
      </x:c>
      <x:c r="P6" s="142"/>
    </x:row>
    <x:row r="7" ht="19" customHeight="1">
      <x:c r="A7" s="142"/>
      <x:c r="B7" s="142"/>
      <x:c r="C7" s="142"/>
      <x:c r="D7" s="142"/>
      <x:c r="E7" s="142"/>
      <x:c r="F7" s="142"/>
      <x:c r="G7" s="208"/>
      <x:c r="H7" s="142"/>
      <x:c r="I7" s="142"/>
      <x:c r="J7" s="142"/>
      <x:c r="K7" s="142"/>
      <x:c r="L7" s="142"/>
      <x:c r="M7" s="142"/>
      <x:c r="N7" s="214" t="str">
        <x:f>IF(A7="","",SUMIF('PARTICIPAÇÕES OBRA'!$A$5:$A$254,A7,'PARTICIPAÇÕES OBRA'!$F$5:$F$254))</x:f>
      </x:c>
      <x:c r="O7" s="202" t="str">
        <x:f>IF(A7="","",IF(N7=1,"OK 100%","CONFERIR"))</x:f>
      </x:c>
      <x:c r="P7" s="142"/>
    </x:row>
    <x:row r="8" ht="19" customHeight="1">
      <x:c r="A8" s="142"/>
      <x:c r="B8" s="142"/>
      <x:c r="C8" s="142"/>
      <x:c r="D8" s="142"/>
      <x:c r="E8" s="142"/>
      <x:c r="F8" s="142"/>
      <x:c r="G8" s="208"/>
      <x:c r="H8" s="142"/>
      <x:c r="I8" s="142"/>
      <x:c r="J8" s="142"/>
      <x:c r="K8" s="142"/>
      <x:c r="L8" s="142"/>
      <x:c r="M8" s="142"/>
      <x:c r="N8" s="214" t="str">
        <x:f>IF(A8="","",SUMIF('PARTICIPAÇÕES OBRA'!$A$5:$A$254,A8,'PARTICIPAÇÕES OBRA'!$F$5:$F$254))</x:f>
      </x:c>
      <x:c r="O8" s="202" t="str">
        <x:f>IF(A8="","",IF(N8=1,"OK 100%","CONFERIR"))</x:f>
      </x:c>
      <x:c r="P8" s="142"/>
    </x:row>
    <x:row r="9" ht="19" customHeight="1">
      <x:c r="A9" s="142"/>
      <x:c r="B9" s="142"/>
      <x:c r="C9" s="142"/>
      <x:c r="D9" s="142"/>
      <x:c r="E9" s="142"/>
      <x:c r="F9" s="142"/>
      <x:c r="G9" s="208"/>
      <x:c r="H9" s="142"/>
      <x:c r="I9" s="142"/>
      <x:c r="J9" s="142"/>
      <x:c r="K9" s="142"/>
      <x:c r="L9" s="142"/>
      <x:c r="M9" s="142"/>
      <x:c r="N9" s="214" t="str">
        <x:f>IF(A9="","",SUMIF('PARTICIPAÇÕES OBRA'!$A$5:$A$254,A9,'PARTICIPAÇÕES OBRA'!$F$5:$F$254))</x:f>
      </x:c>
      <x:c r="O9" s="202" t="str">
        <x:f>IF(A9="","",IF(N9=1,"OK 100%","CONFERIR"))</x:f>
      </x:c>
      <x:c r="P9" s="142"/>
    </x:row>
    <x:row r="10" ht="19" customHeight="1">
      <x:c r="A10" s="142"/>
      <x:c r="B10" s="142"/>
      <x:c r="C10" s="142"/>
      <x:c r="D10" s="142"/>
      <x:c r="E10" s="142"/>
      <x:c r="F10" s="142"/>
      <x:c r="G10" s="208"/>
      <x:c r="H10" s="142"/>
      <x:c r="I10" s="142"/>
      <x:c r="J10" s="142"/>
      <x:c r="K10" s="142"/>
      <x:c r="L10" s="142"/>
      <x:c r="M10" s="142"/>
      <x:c r="N10" s="214" t="str">
        <x:f>IF(A10="","",SUMIF('PARTICIPAÇÕES OBRA'!$A$5:$A$254,A10,'PARTICIPAÇÕES OBRA'!$F$5:$F$254))</x:f>
      </x:c>
      <x:c r="O10" s="202" t="str">
        <x:f>IF(A10="","",IF(N10=1,"OK 100%","CONFERIR"))</x:f>
      </x:c>
      <x:c r="P10" s="142"/>
    </x:row>
    <x:row r="11" ht="19" customHeight="1">
      <x:c r="A11" s="142"/>
      <x:c r="B11" s="142"/>
      <x:c r="C11" s="142"/>
      <x:c r="D11" s="142"/>
      <x:c r="E11" s="142"/>
      <x:c r="F11" s="142"/>
      <x:c r="G11" s="208"/>
      <x:c r="H11" s="142"/>
      <x:c r="I11" s="142"/>
      <x:c r="J11" s="142"/>
      <x:c r="K11" s="142"/>
      <x:c r="L11" s="142"/>
      <x:c r="M11" s="142"/>
      <x:c r="N11" s="214" t="str">
        <x:f>IF(A11="","",SUMIF('PARTICIPAÇÕES OBRA'!$A$5:$A$254,A11,'PARTICIPAÇÕES OBRA'!$F$5:$F$254))</x:f>
      </x:c>
      <x:c r="O11" s="202" t="str">
        <x:f>IF(A11="","",IF(N11=1,"OK 100%","CONFERIR"))</x:f>
      </x:c>
      <x:c r="P11" s="142"/>
    </x:row>
    <x:row r="12" ht="19" customHeight="1">
      <x:c r="A12" s="142"/>
      <x:c r="B12" s="142"/>
      <x:c r="C12" s="142"/>
      <x:c r="D12" s="142"/>
      <x:c r="E12" s="142"/>
      <x:c r="F12" s="142"/>
      <x:c r="G12" s="208"/>
      <x:c r="H12" s="142"/>
      <x:c r="I12" s="142"/>
      <x:c r="J12" s="142"/>
      <x:c r="K12" s="142"/>
      <x:c r="L12" s="142"/>
      <x:c r="M12" s="142"/>
      <x:c r="N12" s="214" t="str">
        <x:f>IF(A12="","",SUMIF('PARTICIPAÇÕES OBRA'!$A$5:$A$254,A12,'PARTICIPAÇÕES OBRA'!$F$5:$F$254))</x:f>
      </x:c>
      <x:c r="O12" s="202" t="str">
        <x:f>IF(A12="","",IF(N12=1,"OK 100%","CONFERIR"))</x:f>
      </x:c>
      <x:c r="P12" s="142"/>
    </x:row>
    <x:row r="13" ht="19" customHeight="1">
      <x:c r="A13" s="142"/>
      <x:c r="B13" s="142"/>
      <x:c r="C13" s="142"/>
      <x:c r="D13" s="142"/>
      <x:c r="E13" s="142"/>
      <x:c r="F13" s="142"/>
      <x:c r="G13" s="208"/>
      <x:c r="H13" s="142"/>
      <x:c r="I13" s="142"/>
      <x:c r="J13" s="142"/>
      <x:c r="K13" s="142"/>
      <x:c r="L13" s="142"/>
      <x:c r="M13" s="142"/>
      <x:c r="N13" s="214" t="str">
        <x:f>IF(A13="","",SUMIF('PARTICIPAÇÕES OBRA'!$A$5:$A$254,A13,'PARTICIPAÇÕES OBRA'!$F$5:$F$254))</x:f>
      </x:c>
      <x:c r="O13" s="202" t="str">
        <x:f>IF(A13="","",IF(N13=1,"OK 100%","CONFERIR"))</x:f>
      </x:c>
      <x:c r="P13" s="142"/>
    </x:row>
    <x:row r="14" ht="19" customHeight="1">
      <x:c r="A14" s="142"/>
      <x:c r="B14" s="142"/>
      <x:c r="C14" s="142"/>
      <x:c r="D14" s="142"/>
      <x:c r="E14" s="142"/>
      <x:c r="F14" s="142"/>
      <x:c r="G14" s="208"/>
      <x:c r="H14" s="142"/>
      <x:c r="I14" s="142"/>
      <x:c r="J14" s="142"/>
      <x:c r="K14" s="142"/>
      <x:c r="L14" s="142"/>
      <x:c r="M14" s="142"/>
      <x:c r="N14" s="214" t="str">
        <x:f>IF(A14="","",SUMIF('PARTICIPAÇÕES OBRA'!$A$5:$A$254,A14,'PARTICIPAÇÕES OBRA'!$F$5:$F$254))</x:f>
      </x:c>
      <x:c r="O14" s="202" t="str">
        <x:f>IF(A14="","",IF(N14=1,"OK 100%","CONFERIR"))</x:f>
      </x:c>
      <x:c r="P14" s="142"/>
    </x:row>
    <x:row r="15" ht="19" customHeight="1">
      <x:c r="A15" s="142"/>
      <x:c r="B15" s="142"/>
      <x:c r="C15" s="142"/>
      <x:c r="D15" s="142"/>
      <x:c r="E15" s="142"/>
      <x:c r="F15" s="142"/>
      <x:c r="G15" s="208"/>
      <x:c r="H15" s="142"/>
      <x:c r="I15" s="142"/>
      <x:c r="J15" s="142"/>
      <x:c r="K15" s="142"/>
      <x:c r="L15" s="142"/>
      <x:c r="M15" s="142"/>
      <x:c r="N15" s="214" t="str">
        <x:f>IF(A15="","",SUMIF('PARTICIPAÇÕES OBRA'!$A$5:$A$254,A15,'PARTICIPAÇÕES OBRA'!$F$5:$F$254))</x:f>
      </x:c>
      <x:c r="O15" s="202" t="str">
        <x:f>IF(A15="","",IF(N15=1,"OK 100%","CONFERIR"))</x:f>
      </x:c>
      <x:c r="P15" s="142"/>
    </x:row>
    <x:row r="16" ht="19" customHeight="1">
      <x:c r="A16" s="142"/>
      <x:c r="B16" s="142"/>
      <x:c r="C16" s="142"/>
      <x:c r="D16" s="142"/>
      <x:c r="E16" s="142"/>
      <x:c r="F16" s="142"/>
      <x:c r="G16" s="208"/>
      <x:c r="H16" s="142"/>
      <x:c r="I16" s="142"/>
      <x:c r="J16" s="142"/>
      <x:c r="K16" s="142"/>
      <x:c r="L16" s="142"/>
      <x:c r="M16" s="142"/>
      <x:c r="N16" s="214" t="str">
        <x:f>IF(A16="","",SUMIF('PARTICIPAÇÕES OBRA'!$A$5:$A$254,A16,'PARTICIPAÇÕES OBRA'!$F$5:$F$254))</x:f>
      </x:c>
      <x:c r="O16" s="202" t="str">
        <x:f>IF(A16="","",IF(N16=1,"OK 100%","CONFERIR"))</x:f>
      </x:c>
      <x:c r="P16" s="142"/>
    </x:row>
    <x:row r="17" ht="19" customHeight="1">
      <x:c r="A17" s="142"/>
      <x:c r="B17" s="142"/>
      <x:c r="C17" s="142"/>
      <x:c r="D17" s="142"/>
      <x:c r="E17" s="142"/>
      <x:c r="F17" s="142"/>
      <x:c r="G17" s="208"/>
      <x:c r="H17" s="142"/>
      <x:c r="I17" s="142"/>
      <x:c r="J17" s="142"/>
      <x:c r="K17" s="142"/>
      <x:c r="L17" s="142"/>
      <x:c r="M17" s="142"/>
      <x:c r="N17" s="214" t="str">
        <x:f>IF(A17="","",SUMIF('PARTICIPAÇÕES OBRA'!$A$5:$A$254,A17,'PARTICIPAÇÕES OBRA'!$F$5:$F$254))</x:f>
      </x:c>
      <x:c r="O17" s="202" t="str">
        <x:f>IF(A17="","",IF(N17=1,"OK 100%","CONFERIR"))</x:f>
      </x:c>
      <x:c r="P17" s="142"/>
    </x:row>
    <x:row r="18" ht="19" customHeight="1">
      <x:c r="A18" s="142"/>
      <x:c r="B18" s="142"/>
      <x:c r="C18" s="142"/>
      <x:c r="D18" s="142"/>
      <x:c r="E18" s="142"/>
      <x:c r="F18" s="142"/>
      <x:c r="G18" s="208"/>
      <x:c r="H18" s="142"/>
      <x:c r="I18" s="142"/>
      <x:c r="J18" s="142"/>
      <x:c r="K18" s="142"/>
      <x:c r="L18" s="142"/>
      <x:c r="M18" s="142"/>
      <x:c r="N18" s="214" t="str">
        <x:f>IF(A18="","",SUMIF('PARTICIPAÇÕES OBRA'!$A$5:$A$254,A18,'PARTICIPAÇÕES OBRA'!$F$5:$F$254))</x:f>
      </x:c>
      <x:c r="O18" s="202" t="str">
        <x:f>IF(A18="","",IF(N18=1,"OK 100%","CONFERIR"))</x:f>
      </x:c>
      <x:c r="P18" s="142"/>
    </x:row>
    <x:row r="19" ht="19" customHeight="1">
      <x:c r="A19" s="142"/>
      <x:c r="B19" s="142"/>
      <x:c r="C19" s="142"/>
      <x:c r="D19" s="142"/>
      <x:c r="E19" s="142"/>
      <x:c r="F19" s="142"/>
      <x:c r="G19" s="208"/>
      <x:c r="H19" s="142"/>
      <x:c r="I19" s="142"/>
      <x:c r="J19" s="142"/>
      <x:c r="K19" s="142"/>
      <x:c r="L19" s="142"/>
      <x:c r="M19" s="142"/>
      <x:c r="N19" s="214" t="str">
        <x:f>IF(A19="","",SUMIF('PARTICIPAÇÕES OBRA'!$A$5:$A$254,A19,'PARTICIPAÇÕES OBRA'!$F$5:$F$254))</x:f>
      </x:c>
      <x:c r="O19" s="202" t="str">
        <x:f>IF(A19="","",IF(N19=1,"OK 100%","CONFERIR"))</x:f>
      </x:c>
      <x:c r="P19" s="142"/>
    </x:row>
    <x:row r="20" ht="19" customHeight="1">
      <x:c r="A20" s="142"/>
      <x:c r="B20" s="142"/>
      <x:c r="C20" s="142"/>
      <x:c r="D20" s="142"/>
      <x:c r="E20" s="142"/>
      <x:c r="F20" s="142"/>
      <x:c r="G20" s="208"/>
      <x:c r="H20" s="142"/>
      <x:c r="I20" s="142"/>
      <x:c r="J20" s="142"/>
      <x:c r="K20" s="142"/>
      <x:c r="L20" s="142"/>
      <x:c r="M20" s="142"/>
      <x:c r="N20" s="214" t="str">
        <x:f>IF(A20="","",SUMIF('PARTICIPAÇÕES OBRA'!$A$5:$A$254,A20,'PARTICIPAÇÕES OBRA'!$F$5:$F$254))</x:f>
      </x:c>
      <x:c r="O20" s="202" t="str">
        <x:f>IF(A20="","",IF(N20=1,"OK 100%","CONFERIR"))</x:f>
      </x:c>
      <x:c r="P20" s="142"/>
    </x:row>
    <x:row r="21" ht="19" customHeight="1">
      <x:c r="A21" s="142"/>
      <x:c r="B21" s="142"/>
      <x:c r="C21" s="142"/>
      <x:c r="D21" s="142"/>
      <x:c r="E21" s="142"/>
      <x:c r="F21" s="142"/>
      <x:c r="G21" s="208"/>
      <x:c r="H21" s="142"/>
      <x:c r="I21" s="142"/>
      <x:c r="J21" s="142"/>
      <x:c r="K21" s="142"/>
      <x:c r="L21" s="142"/>
      <x:c r="M21" s="142"/>
      <x:c r="N21" s="214" t="str">
        <x:f>IF(A21="","",SUMIF('PARTICIPAÇÕES OBRA'!$A$5:$A$254,A21,'PARTICIPAÇÕES OBRA'!$F$5:$F$254))</x:f>
      </x:c>
      <x:c r="O21" s="202" t="str">
        <x:f>IF(A21="","",IF(N21=1,"OK 100%","CONFERIR"))</x:f>
      </x:c>
      <x:c r="P21" s="142"/>
    </x:row>
    <x:row r="22" ht="19" customHeight="1">
      <x:c r="A22" s="142"/>
      <x:c r="B22" s="142"/>
      <x:c r="C22" s="142"/>
      <x:c r="D22" s="142"/>
      <x:c r="E22" s="142"/>
      <x:c r="F22" s="142"/>
      <x:c r="G22" s="208"/>
      <x:c r="H22" s="142"/>
      <x:c r="I22" s="142"/>
      <x:c r="J22" s="142"/>
      <x:c r="K22" s="142"/>
      <x:c r="L22" s="142"/>
      <x:c r="M22" s="142"/>
      <x:c r="N22" s="214" t="str">
        <x:f>IF(A22="","",SUMIF('PARTICIPAÇÕES OBRA'!$A$5:$A$254,A22,'PARTICIPAÇÕES OBRA'!$F$5:$F$254))</x:f>
      </x:c>
      <x:c r="O22" s="202" t="str">
        <x:f>IF(A22="","",IF(N22=1,"OK 100%","CONFERIR"))</x:f>
      </x:c>
      <x:c r="P22" s="142"/>
    </x:row>
    <x:row r="23" ht="19" customHeight="1">
      <x:c r="A23" s="142"/>
      <x:c r="B23" s="142"/>
      <x:c r="C23" s="142"/>
      <x:c r="D23" s="142"/>
      <x:c r="E23" s="142"/>
      <x:c r="F23" s="142"/>
      <x:c r="G23" s="208"/>
      <x:c r="H23" s="142"/>
      <x:c r="I23" s="142"/>
      <x:c r="J23" s="142"/>
      <x:c r="K23" s="142"/>
      <x:c r="L23" s="142"/>
      <x:c r="M23" s="142"/>
      <x:c r="N23" s="214" t="str">
        <x:f>IF(A23="","",SUMIF('PARTICIPAÇÕES OBRA'!$A$5:$A$254,A23,'PARTICIPAÇÕES OBRA'!$F$5:$F$254))</x:f>
      </x:c>
      <x:c r="O23" s="202" t="str">
        <x:f>IF(A23="","",IF(N23=1,"OK 100%","CONFERIR"))</x:f>
      </x:c>
      <x:c r="P23" s="142"/>
    </x:row>
    <x:row r="24" ht="19" customHeight="1">
      <x:c r="A24" s="142"/>
      <x:c r="B24" s="142"/>
      <x:c r="C24" s="142"/>
      <x:c r="D24" s="142"/>
      <x:c r="E24" s="142"/>
      <x:c r="F24" s="142"/>
      <x:c r="G24" s="208"/>
      <x:c r="H24" s="142"/>
      <x:c r="I24" s="142"/>
      <x:c r="J24" s="142"/>
      <x:c r="K24" s="142"/>
      <x:c r="L24" s="142"/>
      <x:c r="M24" s="142"/>
      <x:c r="N24" s="214" t="str">
        <x:f>IF(A24="","",SUMIF('PARTICIPAÇÕES OBRA'!$A$5:$A$254,A24,'PARTICIPAÇÕES OBRA'!$F$5:$F$254))</x:f>
      </x:c>
      <x:c r="O24" s="202" t="str">
        <x:f>IF(A24="","",IF(N24=1,"OK 100%","CONFERIR"))</x:f>
      </x:c>
      <x:c r="P24" s="142"/>
    </x:row>
    <x:row r="25" ht="19" customHeight="1">
      <x:c r="A25" s="142"/>
      <x:c r="B25" s="142"/>
      <x:c r="C25" s="142"/>
      <x:c r="D25" s="142"/>
      <x:c r="E25" s="142"/>
      <x:c r="F25" s="142"/>
      <x:c r="G25" s="208"/>
      <x:c r="H25" s="142"/>
      <x:c r="I25" s="142"/>
      <x:c r="J25" s="142"/>
      <x:c r="K25" s="142"/>
      <x:c r="L25" s="142"/>
      <x:c r="M25" s="142"/>
      <x:c r="N25" s="214" t="str">
        <x:f>IF(A25="","",SUMIF('PARTICIPAÇÕES OBRA'!$A$5:$A$254,A25,'PARTICIPAÇÕES OBRA'!$F$5:$F$254))</x:f>
      </x:c>
      <x:c r="O25" s="202" t="str">
        <x:f>IF(A25="","",IF(N25=1,"OK 100%","CONFERIR"))</x:f>
      </x:c>
      <x:c r="P25" s="142"/>
    </x:row>
    <x:row r="26" ht="19" customHeight="1">
      <x:c r="A26" s="142"/>
      <x:c r="B26" s="142"/>
      <x:c r="C26" s="142"/>
      <x:c r="D26" s="142"/>
      <x:c r="E26" s="142"/>
      <x:c r="F26" s="142"/>
      <x:c r="G26" s="208"/>
      <x:c r="H26" s="142"/>
      <x:c r="I26" s="142"/>
      <x:c r="J26" s="142"/>
      <x:c r="K26" s="142"/>
      <x:c r="L26" s="142"/>
      <x:c r="M26" s="142"/>
      <x:c r="N26" s="214" t="str">
        <x:f>IF(A26="","",SUMIF('PARTICIPAÇÕES OBRA'!$A$5:$A$254,A26,'PARTICIPAÇÕES OBRA'!$F$5:$F$254))</x:f>
      </x:c>
      <x:c r="O26" s="202" t="str">
        <x:f>IF(A26="","",IF(N26=1,"OK 100%","CONFERIR"))</x:f>
      </x:c>
      <x:c r="P26" s="142"/>
    </x:row>
    <x:row r="27" ht="19" customHeight="1">
      <x:c r="A27" s="142"/>
      <x:c r="B27" s="142"/>
      <x:c r="C27" s="142"/>
      <x:c r="D27" s="142"/>
      <x:c r="E27" s="142"/>
      <x:c r="F27" s="142"/>
      <x:c r="G27" s="208"/>
      <x:c r="H27" s="142"/>
      <x:c r="I27" s="142"/>
      <x:c r="J27" s="142"/>
      <x:c r="K27" s="142"/>
      <x:c r="L27" s="142"/>
      <x:c r="M27" s="142"/>
      <x:c r="N27" s="214" t="str">
        <x:f>IF(A27="","",SUMIF('PARTICIPAÇÕES OBRA'!$A$5:$A$254,A27,'PARTICIPAÇÕES OBRA'!$F$5:$F$254))</x:f>
      </x:c>
      <x:c r="O27" s="202" t="str">
        <x:f>IF(A27="","",IF(N27=1,"OK 100%","CONFERIR"))</x:f>
      </x:c>
      <x:c r="P27" s="142"/>
    </x:row>
    <x:row r="28" ht="19" customHeight="1">
      <x:c r="A28" s="142"/>
      <x:c r="B28" s="142"/>
      <x:c r="C28" s="142"/>
      <x:c r="D28" s="142"/>
      <x:c r="E28" s="142"/>
      <x:c r="F28" s="142"/>
      <x:c r="G28" s="208"/>
      <x:c r="H28" s="142"/>
      <x:c r="I28" s="142"/>
      <x:c r="J28" s="142"/>
      <x:c r="K28" s="142"/>
      <x:c r="L28" s="142"/>
      <x:c r="M28" s="142"/>
      <x:c r="N28" s="214" t="str">
        <x:f>IF(A28="","",SUMIF('PARTICIPAÇÕES OBRA'!$A$5:$A$254,A28,'PARTICIPAÇÕES OBRA'!$F$5:$F$254))</x:f>
      </x:c>
      <x:c r="O28" s="202" t="str">
        <x:f>IF(A28="","",IF(N28=1,"OK 100%","CONFERIR"))</x:f>
      </x:c>
      <x:c r="P28" s="142"/>
    </x:row>
    <x:row r="29" ht="19" customHeight="1">
      <x:c r="A29" s="142"/>
      <x:c r="B29" s="142"/>
      <x:c r="C29" s="142"/>
      <x:c r="D29" s="142"/>
      <x:c r="E29" s="142"/>
      <x:c r="F29" s="142"/>
      <x:c r="G29" s="208"/>
      <x:c r="H29" s="142"/>
      <x:c r="I29" s="142"/>
      <x:c r="J29" s="142"/>
      <x:c r="K29" s="142"/>
      <x:c r="L29" s="142"/>
      <x:c r="M29" s="142"/>
      <x:c r="N29" s="214" t="str">
        <x:f>IF(A29="","",SUMIF('PARTICIPAÇÕES OBRA'!$A$5:$A$254,A29,'PARTICIPAÇÕES OBRA'!$F$5:$F$254))</x:f>
      </x:c>
      <x:c r="O29" s="202" t="str">
        <x:f>IF(A29="","",IF(N29=1,"OK 100%","CONFERIR"))</x:f>
      </x:c>
      <x:c r="P29" s="142"/>
    </x:row>
    <x:row r="30" ht="19" customHeight="1">
      <x:c r="A30" s="142"/>
      <x:c r="B30" s="142"/>
      <x:c r="C30" s="142"/>
      <x:c r="D30" s="142"/>
      <x:c r="E30" s="142"/>
      <x:c r="F30" s="142"/>
      <x:c r="G30" s="208"/>
      <x:c r="H30" s="142"/>
      <x:c r="I30" s="142"/>
      <x:c r="J30" s="142"/>
      <x:c r="K30" s="142"/>
      <x:c r="L30" s="142"/>
      <x:c r="M30" s="142"/>
      <x:c r="N30" s="214" t="str">
        <x:f>IF(A30="","",SUMIF('PARTICIPAÇÕES OBRA'!$A$5:$A$254,A30,'PARTICIPAÇÕES OBRA'!$F$5:$F$254))</x:f>
      </x:c>
      <x:c r="O30" s="202" t="str">
        <x:f>IF(A30="","",IF(N30=1,"OK 100%","CONFERIR"))</x:f>
      </x:c>
      <x:c r="P30" s="142"/>
    </x:row>
    <x:row r="31" ht="19" customHeight="1">
      <x:c r="A31" s="142"/>
      <x:c r="B31" s="142"/>
      <x:c r="C31" s="142"/>
      <x:c r="D31" s="142"/>
      <x:c r="E31" s="142"/>
      <x:c r="F31" s="142"/>
      <x:c r="G31" s="208"/>
      <x:c r="H31" s="142"/>
      <x:c r="I31" s="142"/>
      <x:c r="J31" s="142"/>
      <x:c r="K31" s="142"/>
      <x:c r="L31" s="142"/>
      <x:c r="M31" s="142"/>
      <x:c r="N31" s="214" t="str">
        <x:f>IF(A31="","",SUMIF('PARTICIPAÇÕES OBRA'!$A$5:$A$254,A31,'PARTICIPAÇÕES OBRA'!$F$5:$F$254))</x:f>
      </x:c>
      <x:c r="O31" s="202" t="str">
        <x:f>IF(A31="","",IF(N31=1,"OK 100%","CONFERIR"))</x:f>
      </x:c>
      <x:c r="P31" s="142"/>
    </x:row>
    <x:row r="32" ht="19" customHeight="1">
      <x:c r="A32" s="142"/>
      <x:c r="B32" s="142"/>
      <x:c r="C32" s="142"/>
      <x:c r="D32" s="142"/>
      <x:c r="E32" s="142"/>
      <x:c r="F32" s="142"/>
      <x:c r="G32" s="208"/>
      <x:c r="H32" s="142"/>
      <x:c r="I32" s="142"/>
      <x:c r="J32" s="142"/>
      <x:c r="K32" s="142"/>
      <x:c r="L32" s="142"/>
      <x:c r="M32" s="142"/>
      <x:c r="N32" s="214" t="str">
        <x:f>IF(A32="","",SUMIF('PARTICIPAÇÕES OBRA'!$A$5:$A$254,A32,'PARTICIPAÇÕES OBRA'!$F$5:$F$254))</x:f>
      </x:c>
      <x:c r="O32" s="202" t="str">
        <x:f>IF(A32="","",IF(N32=1,"OK 100%","CONFERIR"))</x:f>
      </x:c>
      <x:c r="P32" s="142"/>
    </x:row>
    <x:row r="33" ht="19" customHeight="1">
      <x:c r="A33" s="142"/>
      <x:c r="B33" s="142"/>
      <x:c r="C33" s="142"/>
      <x:c r="D33" s="142"/>
      <x:c r="E33" s="142"/>
      <x:c r="F33" s="142"/>
      <x:c r="G33" s="208"/>
      <x:c r="H33" s="142"/>
      <x:c r="I33" s="142"/>
      <x:c r="J33" s="142"/>
      <x:c r="K33" s="142"/>
      <x:c r="L33" s="142"/>
      <x:c r="M33" s="142"/>
      <x:c r="N33" s="214" t="str">
        <x:f>IF(A33="","",SUMIF('PARTICIPAÇÕES OBRA'!$A$5:$A$254,A33,'PARTICIPAÇÕES OBRA'!$F$5:$F$254))</x:f>
      </x:c>
      <x:c r="O33" s="202" t="str">
        <x:f>IF(A33="","",IF(N33=1,"OK 100%","CONFERIR"))</x:f>
      </x:c>
      <x:c r="P33" s="142"/>
    </x:row>
    <x:row r="34" ht="19" customHeight="1">
      <x:c r="A34" s="142"/>
      <x:c r="B34" s="142"/>
      <x:c r="C34" s="142"/>
      <x:c r="D34" s="142"/>
      <x:c r="E34" s="142"/>
      <x:c r="F34" s="142"/>
      <x:c r="G34" s="208"/>
      <x:c r="H34" s="142"/>
      <x:c r="I34" s="142"/>
      <x:c r="J34" s="142"/>
      <x:c r="K34" s="142"/>
      <x:c r="L34" s="142"/>
      <x:c r="M34" s="142"/>
      <x:c r="N34" s="214" t="str">
        <x:f>IF(A34="","",SUMIF('PARTICIPAÇÕES OBRA'!$A$5:$A$254,A34,'PARTICIPAÇÕES OBRA'!$F$5:$F$254))</x:f>
      </x:c>
      <x:c r="O34" s="202" t="str">
        <x:f>IF(A34="","",IF(N34=1,"OK 100%","CONFERIR"))</x:f>
      </x:c>
      <x:c r="P34" s="142"/>
    </x:row>
    <x:row r="35" ht="19" customHeight="1">
      <x:c r="A35" s="142"/>
      <x:c r="B35" s="142"/>
      <x:c r="C35" s="142"/>
      <x:c r="D35" s="142"/>
      <x:c r="E35" s="142"/>
      <x:c r="F35" s="142"/>
      <x:c r="G35" s="208"/>
      <x:c r="H35" s="142"/>
      <x:c r="I35" s="142"/>
      <x:c r="J35" s="142"/>
      <x:c r="K35" s="142"/>
      <x:c r="L35" s="142"/>
      <x:c r="M35" s="142"/>
      <x:c r="N35" s="214" t="str">
        <x:f>IF(A35="","",SUMIF('PARTICIPAÇÕES OBRA'!$A$5:$A$254,A35,'PARTICIPAÇÕES OBRA'!$F$5:$F$254))</x:f>
      </x:c>
      <x:c r="O35" s="202" t="str">
        <x:f>IF(A35="","",IF(N35=1,"OK 100%","CONFERIR"))</x:f>
      </x:c>
      <x:c r="P35" s="142"/>
    </x:row>
    <x:row r="36" ht="19" customHeight="1">
      <x:c r="A36" s="142"/>
      <x:c r="B36" s="142"/>
      <x:c r="C36" s="142"/>
      <x:c r="D36" s="142"/>
      <x:c r="E36" s="142"/>
      <x:c r="F36" s="142"/>
      <x:c r="G36" s="208"/>
      <x:c r="H36" s="142"/>
      <x:c r="I36" s="142"/>
      <x:c r="J36" s="142"/>
      <x:c r="K36" s="142"/>
      <x:c r="L36" s="142"/>
      <x:c r="M36" s="142"/>
      <x:c r="N36" s="214" t="str">
        <x:f>IF(A36="","",SUMIF('PARTICIPAÇÕES OBRA'!$A$5:$A$254,A36,'PARTICIPAÇÕES OBRA'!$F$5:$F$254))</x:f>
      </x:c>
      <x:c r="O36" s="202" t="str">
        <x:f>IF(A36="","",IF(N36=1,"OK 100%","CONFERIR"))</x:f>
      </x:c>
      <x:c r="P36" s="142"/>
    </x:row>
    <x:row r="37" ht="19" customHeight="1">
      <x:c r="A37" s="142"/>
      <x:c r="B37" s="142"/>
      <x:c r="C37" s="142"/>
      <x:c r="D37" s="142"/>
      <x:c r="E37" s="142"/>
      <x:c r="F37" s="142"/>
      <x:c r="G37" s="208"/>
      <x:c r="H37" s="142"/>
      <x:c r="I37" s="142"/>
      <x:c r="J37" s="142"/>
      <x:c r="K37" s="142"/>
      <x:c r="L37" s="142"/>
      <x:c r="M37" s="142"/>
      <x:c r="N37" s="214" t="str">
        <x:f>IF(A37="","",SUMIF('PARTICIPAÇÕES OBRA'!$A$5:$A$254,A37,'PARTICIPAÇÕES OBRA'!$F$5:$F$254))</x:f>
      </x:c>
      <x:c r="O37" s="202" t="str">
        <x:f>IF(A37="","",IF(N37=1,"OK 100%","CONFERIR"))</x:f>
      </x:c>
      <x:c r="P37" s="142"/>
    </x:row>
    <x:row r="38" ht="19" customHeight="1">
      <x:c r="A38" s="142"/>
      <x:c r="B38" s="142"/>
      <x:c r="C38" s="142"/>
      <x:c r="D38" s="142"/>
      <x:c r="E38" s="142"/>
      <x:c r="F38" s="142"/>
      <x:c r="G38" s="208"/>
      <x:c r="H38" s="142"/>
      <x:c r="I38" s="142"/>
      <x:c r="J38" s="142"/>
      <x:c r="K38" s="142"/>
      <x:c r="L38" s="142"/>
      <x:c r="M38" s="142"/>
      <x:c r="N38" s="214" t="str">
        <x:f>IF(A38="","",SUMIF('PARTICIPAÇÕES OBRA'!$A$5:$A$254,A38,'PARTICIPAÇÕES OBRA'!$F$5:$F$254))</x:f>
      </x:c>
      <x:c r="O38" s="202" t="str">
        <x:f>IF(A38="","",IF(N38=1,"OK 100%","CONFERIR"))</x:f>
      </x:c>
      <x:c r="P38" s="142"/>
    </x:row>
    <x:row r="39" ht="19" customHeight="1">
      <x:c r="A39" s="142"/>
      <x:c r="B39" s="142"/>
      <x:c r="C39" s="142"/>
      <x:c r="D39" s="142"/>
      <x:c r="E39" s="142"/>
      <x:c r="F39" s="142"/>
      <x:c r="G39" s="208"/>
      <x:c r="H39" s="142"/>
      <x:c r="I39" s="142"/>
      <x:c r="J39" s="142"/>
      <x:c r="K39" s="142"/>
      <x:c r="L39" s="142"/>
      <x:c r="M39" s="142"/>
      <x:c r="N39" s="214" t="str">
        <x:f>IF(A39="","",SUMIF('PARTICIPAÇÕES OBRA'!$A$5:$A$254,A39,'PARTICIPAÇÕES OBRA'!$F$5:$F$254))</x:f>
      </x:c>
      <x:c r="O39" s="202" t="str">
        <x:f>IF(A39="","",IF(N39=1,"OK 100%","CONFERIR"))</x:f>
      </x:c>
      <x:c r="P39" s="142"/>
    </x:row>
    <x:row r="40" ht="19" customHeight="1">
      <x:c r="A40" s="142"/>
      <x:c r="B40" s="142"/>
      <x:c r="C40" s="142"/>
      <x:c r="D40" s="142"/>
      <x:c r="E40" s="142"/>
      <x:c r="F40" s="142"/>
      <x:c r="G40" s="208"/>
      <x:c r="H40" s="142"/>
      <x:c r="I40" s="142"/>
      <x:c r="J40" s="142"/>
      <x:c r="K40" s="142"/>
      <x:c r="L40" s="142"/>
      <x:c r="M40" s="142"/>
      <x:c r="N40" s="214" t="str">
        <x:f>IF(A40="","",SUMIF('PARTICIPAÇÕES OBRA'!$A$5:$A$254,A40,'PARTICIPAÇÕES OBRA'!$F$5:$F$254))</x:f>
      </x:c>
      <x:c r="O40" s="202" t="str">
        <x:f>IF(A40="","",IF(N40=1,"OK 100%","CONFERIR"))</x:f>
      </x:c>
      <x:c r="P40" s="142"/>
    </x:row>
    <x:row r="41" ht="19" customHeight="1">
      <x:c r="A41" s="142"/>
      <x:c r="B41" s="142"/>
      <x:c r="C41" s="142"/>
      <x:c r="D41" s="142"/>
      <x:c r="E41" s="142"/>
      <x:c r="F41" s="142"/>
      <x:c r="G41" s="208"/>
      <x:c r="H41" s="142"/>
      <x:c r="I41" s="142"/>
      <x:c r="J41" s="142"/>
      <x:c r="K41" s="142"/>
      <x:c r="L41" s="142"/>
      <x:c r="M41" s="142"/>
      <x:c r="N41" s="214" t="str">
        <x:f>IF(A41="","",SUMIF('PARTICIPAÇÕES OBRA'!$A$5:$A$254,A41,'PARTICIPAÇÕES OBRA'!$F$5:$F$254))</x:f>
      </x:c>
      <x:c r="O41" s="202" t="str">
        <x:f>IF(A41="","",IF(N41=1,"OK 100%","CONFERIR"))</x:f>
      </x:c>
      <x:c r="P41" s="142"/>
    </x:row>
    <x:row r="42" ht="19" customHeight="1">
      <x:c r="A42" s="142"/>
      <x:c r="B42" s="142"/>
      <x:c r="C42" s="142"/>
      <x:c r="D42" s="142"/>
      <x:c r="E42" s="142"/>
      <x:c r="F42" s="142"/>
      <x:c r="G42" s="208"/>
      <x:c r="H42" s="142"/>
      <x:c r="I42" s="142"/>
      <x:c r="J42" s="142"/>
      <x:c r="K42" s="142"/>
      <x:c r="L42" s="142"/>
      <x:c r="M42" s="142"/>
      <x:c r="N42" s="214" t="str">
        <x:f>IF(A42="","",SUMIF('PARTICIPAÇÕES OBRA'!$A$5:$A$254,A42,'PARTICIPAÇÕES OBRA'!$F$5:$F$254))</x:f>
      </x:c>
      <x:c r="O42" s="202" t="str">
        <x:f>IF(A42="","",IF(N42=1,"OK 100%","CONFERIR"))</x:f>
      </x:c>
      <x:c r="P42" s="142"/>
    </x:row>
    <x:row r="43" ht="19" customHeight="1">
      <x:c r="A43" s="142"/>
      <x:c r="B43" s="142"/>
      <x:c r="C43" s="142"/>
      <x:c r="D43" s="142"/>
      <x:c r="E43" s="142"/>
      <x:c r="F43" s="142"/>
      <x:c r="G43" s="208"/>
      <x:c r="H43" s="142"/>
      <x:c r="I43" s="142"/>
      <x:c r="J43" s="142"/>
      <x:c r="K43" s="142"/>
      <x:c r="L43" s="142"/>
      <x:c r="M43" s="142"/>
      <x:c r="N43" s="214" t="str">
        <x:f>IF(A43="","",SUMIF('PARTICIPAÇÕES OBRA'!$A$5:$A$254,A43,'PARTICIPAÇÕES OBRA'!$F$5:$F$254))</x:f>
      </x:c>
      <x:c r="O43" s="202" t="str">
        <x:f>IF(A43="","",IF(N43=1,"OK 100%","CONFERIR"))</x:f>
      </x:c>
      <x:c r="P43" s="142"/>
    </x:row>
    <x:row r="44" ht="19" customHeight="1">
      <x:c r="A44" s="142"/>
      <x:c r="B44" s="142"/>
      <x:c r="C44" s="142"/>
      <x:c r="D44" s="142"/>
      <x:c r="E44" s="142"/>
      <x:c r="F44" s="142"/>
      <x:c r="G44" s="208"/>
      <x:c r="H44" s="142"/>
      <x:c r="I44" s="142"/>
      <x:c r="J44" s="142"/>
      <x:c r="K44" s="142"/>
      <x:c r="L44" s="142"/>
      <x:c r="M44" s="142"/>
      <x:c r="N44" s="214" t="str">
        <x:f>IF(A44="","",SUMIF('PARTICIPAÇÕES OBRA'!$A$5:$A$254,A44,'PARTICIPAÇÕES OBRA'!$F$5:$F$254))</x:f>
      </x:c>
      <x:c r="O44" s="202" t="str">
        <x:f>IF(A44="","",IF(N44=1,"OK 100%","CONFERIR"))</x:f>
      </x:c>
      <x:c r="P44" s="142"/>
    </x:row>
    <x:row r="45" ht="19" customHeight="1">
      <x:c r="A45" s="142"/>
      <x:c r="B45" s="142"/>
      <x:c r="C45" s="142"/>
      <x:c r="D45" s="142"/>
      <x:c r="E45" s="142"/>
      <x:c r="F45" s="142"/>
      <x:c r="G45" s="208"/>
      <x:c r="H45" s="142"/>
      <x:c r="I45" s="142"/>
      <x:c r="J45" s="142"/>
      <x:c r="K45" s="142"/>
      <x:c r="L45" s="142"/>
      <x:c r="M45" s="142"/>
      <x:c r="N45" s="214" t="str">
        <x:f>IF(A45="","",SUMIF('PARTICIPAÇÕES OBRA'!$A$5:$A$254,A45,'PARTICIPAÇÕES OBRA'!$F$5:$F$254))</x:f>
      </x:c>
      <x:c r="O45" s="202" t="str">
        <x:f>IF(A45="","",IF(N45=1,"OK 100%","CONFERIR"))</x:f>
      </x:c>
      <x:c r="P45" s="142"/>
    </x:row>
    <x:row r="46" ht="19" customHeight="1">
      <x:c r="A46" s="142"/>
      <x:c r="B46" s="142"/>
      <x:c r="C46" s="142"/>
      <x:c r="D46" s="142"/>
      <x:c r="E46" s="142"/>
      <x:c r="F46" s="142"/>
      <x:c r="G46" s="208"/>
      <x:c r="H46" s="142"/>
      <x:c r="I46" s="142"/>
      <x:c r="J46" s="142"/>
      <x:c r="K46" s="142"/>
      <x:c r="L46" s="142"/>
      <x:c r="M46" s="142"/>
      <x:c r="N46" s="214" t="str">
        <x:f>IF(A46="","",SUMIF('PARTICIPAÇÕES OBRA'!$A$5:$A$254,A46,'PARTICIPAÇÕES OBRA'!$F$5:$F$254))</x:f>
      </x:c>
      <x:c r="O46" s="202" t="str">
        <x:f>IF(A46="","",IF(N46=1,"OK 100%","CONFERIR"))</x:f>
      </x:c>
      <x:c r="P46" s="142"/>
    </x:row>
    <x:row r="47" ht="19" customHeight="1">
      <x:c r="A47" s="142"/>
      <x:c r="B47" s="142"/>
      <x:c r="C47" s="142"/>
      <x:c r="D47" s="142"/>
      <x:c r="E47" s="142"/>
      <x:c r="F47" s="142"/>
      <x:c r="G47" s="208"/>
      <x:c r="H47" s="142"/>
      <x:c r="I47" s="142"/>
      <x:c r="J47" s="142"/>
      <x:c r="K47" s="142"/>
      <x:c r="L47" s="142"/>
      <x:c r="M47" s="142"/>
      <x:c r="N47" s="214" t="str">
        <x:f>IF(A47="","",SUMIF('PARTICIPAÇÕES OBRA'!$A$5:$A$254,A47,'PARTICIPAÇÕES OBRA'!$F$5:$F$254))</x:f>
      </x:c>
      <x:c r="O47" s="202" t="str">
        <x:f>IF(A47="","",IF(N47=1,"OK 100%","CONFERIR"))</x:f>
      </x:c>
      <x:c r="P47" s="142"/>
    </x:row>
    <x:row r="48" ht="19" customHeight="1">
      <x:c r="A48" s="142"/>
      <x:c r="B48" s="142"/>
      <x:c r="C48" s="142"/>
      <x:c r="D48" s="142"/>
      <x:c r="E48" s="142"/>
      <x:c r="F48" s="142"/>
      <x:c r="G48" s="208"/>
      <x:c r="H48" s="142"/>
      <x:c r="I48" s="142"/>
      <x:c r="J48" s="142"/>
      <x:c r="K48" s="142"/>
      <x:c r="L48" s="142"/>
      <x:c r="M48" s="142"/>
      <x:c r="N48" s="214" t="str">
        <x:f>IF(A48="","",SUMIF('PARTICIPAÇÕES OBRA'!$A$5:$A$254,A48,'PARTICIPAÇÕES OBRA'!$F$5:$F$254))</x:f>
      </x:c>
      <x:c r="O48" s="202" t="str">
        <x:f>IF(A48="","",IF(N48=1,"OK 100%","CONFERIR"))</x:f>
      </x:c>
      <x:c r="P48" s="142"/>
    </x:row>
    <x:row r="49" ht="19" customHeight="1">
      <x:c r="A49" s="142"/>
      <x:c r="B49" s="142"/>
      <x:c r="C49" s="142"/>
      <x:c r="D49" s="142"/>
      <x:c r="E49" s="142"/>
      <x:c r="F49" s="142"/>
      <x:c r="G49" s="208"/>
      <x:c r="H49" s="142"/>
      <x:c r="I49" s="142"/>
      <x:c r="J49" s="142"/>
      <x:c r="K49" s="142"/>
      <x:c r="L49" s="142"/>
      <x:c r="M49" s="142"/>
      <x:c r="N49" s="214" t="str">
        <x:f>IF(A49="","",SUMIF('PARTICIPAÇÕES OBRA'!$A$5:$A$254,A49,'PARTICIPAÇÕES OBRA'!$F$5:$F$254))</x:f>
      </x:c>
      <x:c r="O49" s="202" t="str">
        <x:f>IF(A49="","",IF(N49=1,"OK 100%","CONFERIR"))</x:f>
      </x:c>
      <x:c r="P49" s="142"/>
    </x:row>
    <x:row r="50" ht="19" customHeight="1">
      <x:c r="A50" s="142"/>
      <x:c r="B50" s="142"/>
      <x:c r="C50" s="142"/>
      <x:c r="D50" s="142"/>
      <x:c r="E50" s="142"/>
      <x:c r="F50" s="142"/>
      <x:c r="G50" s="208"/>
      <x:c r="H50" s="142"/>
      <x:c r="I50" s="142"/>
      <x:c r="J50" s="142"/>
      <x:c r="K50" s="142"/>
      <x:c r="L50" s="142"/>
      <x:c r="M50" s="142"/>
      <x:c r="N50" s="214" t="str">
        <x:f>IF(A50="","",SUMIF('PARTICIPAÇÕES OBRA'!$A$5:$A$254,A50,'PARTICIPAÇÕES OBRA'!$F$5:$F$254))</x:f>
      </x:c>
      <x:c r="O50" s="202" t="str">
        <x:f>IF(A50="","",IF(N50=1,"OK 100%","CONFERIR"))</x:f>
      </x:c>
      <x:c r="P50" s="142"/>
    </x:row>
    <x:row r="51" ht="19" customHeight="1">
      <x:c r="A51" s="142"/>
      <x:c r="B51" s="142"/>
      <x:c r="C51" s="142"/>
      <x:c r="D51" s="142"/>
      <x:c r="E51" s="142"/>
      <x:c r="F51" s="142"/>
      <x:c r="G51" s="208"/>
      <x:c r="H51" s="142"/>
      <x:c r="I51" s="142"/>
      <x:c r="J51" s="142"/>
      <x:c r="K51" s="142"/>
      <x:c r="L51" s="142"/>
      <x:c r="M51" s="142"/>
      <x:c r="N51" s="214" t="str">
        <x:f>IF(A51="","",SUMIF('PARTICIPAÇÕES OBRA'!$A$5:$A$254,A51,'PARTICIPAÇÕES OBRA'!$F$5:$F$254))</x:f>
      </x:c>
      <x:c r="O51" s="202" t="str">
        <x:f>IF(A51="","",IF(N51=1,"OK 100%","CONFERIR"))</x:f>
      </x:c>
      <x:c r="P51" s="142"/>
    </x:row>
    <x:row r="52" ht="19" customHeight="1">
      <x:c r="A52" s="142"/>
      <x:c r="B52" s="142"/>
      <x:c r="C52" s="142"/>
      <x:c r="D52" s="142"/>
      <x:c r="E52" s="142"/>
      <x:c r="F52" s="142"/>
      <x:c r="G52" s="208"/>
      <x:c r="H52" s="142"/>
      <x:c r="I52" s="142"/>
      <x:c r="J52" s="142"/>
      <x:c r="K52" s="142"/>
      <x:c r="L52" s="142"/>
      <x:c r="M52" s="142"/>
      <x:c r="N52" s="214" t="str">
        <x:f>IF(A52="","",SUMIF('PARTICIPAÇÕES OBRA'!$A$5:$A$254,A52,'PARTICIPAÇÕES OBRA'!$F$5:$F$254))</x:f>
      </x:c>
      <x:c r="O52" s="202" t="str">
        <x:f>IF(A52="","",IF(N52=1,"OK 100%","CONFERIR"))</x:f>
      </x:c>
      <x:c r="P52" s="142"/>
    </x:row>
    <x:row r="53" ht="19" customHeight="1">
      <x:c r="A53" s="142"/>
      <x:c r="B53" s="142"/>
      <x:c r="C53" s="142"/>
      <x:c r="D53" s="142"/>
      <x:c r="E53" s="142"/>
      <x:c r="F53" s="142"/>
      <x:c r="G53" s="208"/>
      <x:c r="H53" s="142"/>
      <x:c r="I53" s="142"/>
      <x:c r="J53" s="142"/>
      <x:c r="K53" s="142"/>
      <x:c r="L53" s="142"/>
      <x:c r="M53" s="142"/>
      <x:c r="N53" s="214" t="str">
        <x:f>IF(A53="","",SUMIF('PARTICIPAÇÕES OBRA'!$A$5:$A$254,A53,'PARTICIPAÇÕES OBRA'!$F$5:$F$254))</x:f>
      </x:c>
      <x:c r="O53" s="202" t="str">
        <x:f>IF(A53="","",IF(N53=1,"OK 100%","CONFERIR"))</x:f>
      </x:c>
      <x:c r="P53" s="142"/>
    </x:row>
    <x:row r="54" ht="19" customHeight="1">
      <x:c r="A54" s="142"/>
      <x:c r="B54" s="142"/>
      <x:c r="C54" s="142"/>
      <x:c r="D54" s="142"/>
      <x:c r="E54" s="142"/>
      <x:c r="F54" s="142"/>
      <x:c r="G54" s="208"/>
      <x:c r="H54" s="142"/>
      <x:c r="I54" s="142"/>
      <x:c r="J54" s="142"/>
      <x:c r="K54" s="142"/>
      <x:c r="L54" s="142"/>
      <x:c r="M54" s="142"/>
      <x:c r="N54" s="214" t="str">
        <x:f>IF(A54="","",SUMIF('PARTICIPAÇÕES OBRA'!$A$5:$A$254,A54,'PARTICIPAÇÕES OBRA'!$F$5:$F$254))</x:f>
      </x:c>
      <x:c r="O54" s="202" t="str">
        <x:f>IF(A54="","",IF(N54=1,"OK 100%","CONFERIR"))</x:f>
      </x:c>
      <x:c r="P54" s="142"/>
    </x:row>
    <x:row r="55" ht="19" customHeight="1">
      <x:c r="A55" s="142"/>
      <x:c r="B55" s="142"/>
      <x:c r="C55" s="142"/>
      <x:c r="D55" s="142"/>
      <x:c r="E55" s="142"/>
      <x:c r="F55" s="142"/>
      <x:c r="G55" s="208"/>
      <x:c r="H55" s="142"/>
      <x:c r="I55" s="142"/>
      <x:c r="J55" s="142"/>
      <x:c r="K55" s="142"/>
      <x:c r="L55" s="142"/>
      <x:c r="M55" s="142"/>
      <x:c r="N55" s="214" t="str">
        <x:f>IF(A55="","",SUMIF('PARTICIPAÇÕES OBRA'!$A$5:$A$254,A55,'PARTICIPAÇÕES OBRA'!$F$5:$F$254))</x:f>
      </x:c>
      <x:c r="O55" s="202" t="str">
        <x:f>IF(A55="","",IF(N55=1,"OK 100%","CONFERIR"))</x:f>
      </x:c>
      <x:c r="P55" s="142"/>
    </x:row>
    <x:row r="56" ht="19" customHeight="1">
      <x:c r="A56" s="142"/>
      <x:c r="B56" s="142"/>
      <x:c r="C56" s="142"/>
      <x:c r="D56" s="142"/>
      <x:c r="E56" s="142"/>
      <x:c r="F56" s="142"/>
      <x:c r="G56" s="208"/>
      <x:c r="H56" s="142"/>
      <x:c r="I56" s="142"/>
      <x:c r="J56" s="142"/>
      <x:c r="K56" s="142"/>
      <x:c r="L56" s="142"/>
      <x:c r="M56" s="142"/>
      <x:c r="N56" s="214" t="str">
        <x:f>IF(A56="","",SUMIF('PARTICIPAÇÕES OBRA'!$A$5:$A$254,A56,'PARTICIPAÇÕES OBRA'!$F$5:$F$254))</x:f>
      </x:c>
      <x:c r="O56" s="202" t="str">
        <x:f>IF(A56="","",IF(N56=1,"OK 100%","CONFERIR"))</x:f>
      </x:c>
      <x:c r="P56" s="142"/>
    </x:row>
    <x:row r="57" ht="19" customHeight="1">
      <x:c r="A57" s="142"/>
      <x:c r="B57" s="142"/>
      <x:c r="C57" s="142"/>
      <x:c r="D57" s="142"/>
      <x:c r="E57" s="142"/>
      <x:c r="F57" s="142"/>
      <x:c r="G57" s="208"/>
      <x:c r="H57" s="142"/>
      <x:c r="I57" s="142"/>
      <x:c r="J57" s="142"/>
      <x:c r="K57" s="142"/>
      <x:c r="L57" s="142"/>
      <x:c r="M57" s="142"/>
      <x:c r="N57" s="214" t="str">
        <x:f>IF(A57="","",SUMIF('PARTICIPAÇÕES OBRA'!$A$5:$A$254,A57,'PARTICIPAÇÕES OBRA'!$F$5:$F$254))</x:f>
      </x:c>
      <x:c r="O57" s="202" t="str">
        <x:f>IF(A57="","",IF(N57=1,"OK 100%","CONFERIR"))</x:f>
      </x:c>
      <x:c r="P57" s="142"/>
    </x:row>
    <x:row r="58" ht="19" customHeight="1">
      <x:c r="A58" s="142"/>
      <x:c r="B58" s="142"/>
      <x:c r="C58" s="142"/>
      <x:c r="D58" s="142"/>
      <x:c r="E58" s="142"/>
      <x:c r="F58" s="142"/>
      <x:c r="G58" s="208"/>
      <x:c r="H58" s="142"/>
      <x:c r="I58" s="142"/>
      <x:c r="J58" s="142"/>
      <x:c r="K58" s="142"/>
      <x:c r="L58" s="142"/>
      <x:c r="M58" s="142"/>
      <x:c r="N58" s="214" t="str">
        <x:f>IF(A58="","",SUMIF('PARTICIPAÇÕES OBRA'!$A$5:$A$254,A58,'PARTICIPAÇÕES OBRA'!$F$5:$F$254))</x:f>
      </x:c>
      <x:c r="O58" s="202" t="str">
        <x:f>IF(A58="","",IF(N58=1,"OK 100%","CONFERIR"))</x:f>
      </x:c>
      <x:c r="P58" s="142"/>
    </x:row>
    <x:row r="59" ht="19" customHeight="1">
      <x:c r="A59" s="142"/>
      <x:c r="B59" s="142"/>
      <x:c r="C59" s="142"/>
      <x:c r="D59" s="142"/>
      <x:c r="E59" s="142"/>
      <x:c r="F59" s="142"/>
      <x:c r="G59" s="208"/>
      <x:c r="H59" s="142"/>
      <x:c r="I59" s="142"/>
      <x:c r="J59" s="142"/>
      <x:c r="K59" s="142"/>
      <x:c r="L59" s="142"/>
      <x:c r="M59" s="142"/>
      <x:c r="N59" s="214" t="str">
        <x:f>IF(A59="","",SUMIF('PARTICIPAÇÕES OBRA'!$A$5:$A$254,A59,'PARTICIPAÇÕES OBRA'!$F$5:$F$254))</x:f>
      </x:c>
      <x:c r="O59" s="202" t="str">
        <x:f>IF(A59="","",IF(N59=1,"OK 100%","CONFERIR"))</x:f>
      </x:c>
      <x:c r="P59" s="142"/>
    </x:row>
    <x:row r="60" ht="19" customHeight="1">
      <x:c r="A60" s="142"/>
      <x:c r="B60" s="142"/>
      <x:c r="C60" s="142"/>
      <x:c r="D60" s="142"/>
      <x:c r="E60" s="142"/>
      <x:c r="F60" s="142"/>
      <x:c r="G60" s="208"/>
      <x:c r="H60" s="142"/>
      <x:c r="I60" s="142"/>
      <x:c r="J60" s="142"/>
      <x:c r="K60" s="142"/>
      <x:c r="L60" s="142"/>
      <x:c r="M60" s="142"/>
      <x:c r="N60" s="214" t="str">
        <x:f>IF(A60="","",SUMIF('PARTICIPAÇÕES OBRA'!$A$5:$A$254,A60,'PARTICIPAÇÕES OBRA'!$F$5:$F$254))</x:f>
      </x:c>
      <x:c r="O60" s="202" t="str">
        <x:f>IF(A60="","",IF(N60=1,"OK 100%","CONFERIR"))</x:f>
      </x:c>
      <x:c r="P60" s="142"/>
    </x:row>
    <x:row r="61" ht="19" customHeight="1">
      <x:c r="A61" s="142"/>
      <x:c r="B61" s="142"/>
      <x:c r="C61" s="142"/>
      <x:c r="D61" s="142"/>
      <x:c r="E61" s="142"/>
      <x:c r="F61" s="142"/>
      <x:c r="G61" s="208"/>
      <x:c r="H61" s="142"/>
      <x:c r="I61" s="142"/>
      <x:c r="J61" s="142"/>
      <x:c r="K61" s="142"/>
      <x:c r="L61" s="142"/>
      <x:c r="M61" s="142"/>
      <x:c r="N61" s="214" t="str">
        <x:f>IF(A61="","",SUMIF('PARTICIPAÇÕES OBRA'!$A$5:$A$254,A61,'PARTICIPAÇÕES OBRA'!$F$5:$F$254))</x:f>
      </x:c>
      <x:c r="O61" s="202" t="str">
        <x:f>IF(A61="","",IF(N61=1,"OK 100%","CONFERIR"))</x:f>
      </x:c>
      <x:c r="P61" s="142"/>
    </x:row>
    <x:row r="62" ht="19" customHeight="1">
      <x:c r="A62" s="142"/>
      <x:c r="B62" s="142"/>
      <x:c r="C62" s="142"/>
      <x:c r="D62" s="142"/>
      <x:c r="E62" s="142"/>
      <x:c r="F62" s="142"/>
      <x:c r="G62" s="208"/>
      <x:c r="H62" s="142"/>
      <x:c r="I62" s="142"/>
      <x:c r="J62" s="142"/>
      <x:c r="K62" s="142"/>
      <x:c r="L62" s="142"/>
      <x:c r="M62" s="142"/>
      <x:c r="N62" s="214" t="str">
        <x:f>IF(A62="","",SUMIF('PARTICIPAÇÕES OBRA'!$A$5:$A$254,A62,'PARTICIPAÇÕES OBRA'!$F$5:$F$254))</x:f>
      </x:c>
      <x:c r="O62" s="202" t="str">
        <x:f>IF(A62="","",IF(N62=1,"OK 100%","CONFERIR"))</x:f>
      </x:c>
      <x:c r="P62" s="142"/>
    </x:row>
    <x:row r="63" ht="19" customHeight="1">
      <x:c r="A63" s="142"/>
      <x:c r="B63" s="142"/>
      <x:c r="C63" s="142"/>
      <x:c r="D63" s="142"/>
      <x:c r="E63" s="142"/>
      <x:c r="F63" s="142"/>
      <x:c r="G63" s="208"/>
      <x:c r="H63" s="142"/>
      <x:c r="I63" s="142"/>
      <x:c r="J63" s="142"/>
      <x:c r="K63" s="142"/>
      <x:c r="L63" s="142"/>
      <x:c r="M63" s="142"/>
      <x:c r="N63" s="214" t="str">
        <x:f>IF(A63="","",SUMIF('PARTICIPAÇÕES OBRA'!$A$5:$A$254,A63,'PARTICIPAÇÕES OBRA'!$F$5:$F$254))</x:f>
      </x:c>
      <x:c r="O63" s="202" t="str">
        <x:f>IF(A63="","",IF(N63=1,"OK 100%","CONFERIR"))</x:f>
      </x:c>
      <x:c r="P63" s="142"/>
    </x:row>
    <x:row r="64" ht="19" customHeight="1">
      <x:c r="A64" s="142"/>
      <x:c r="B64" s="142"/>
      <x:c r="C64" s="142"/>
      <x:c r="D64" s="142"/>
      <x:c r="E64" s="142"/>
      <x:c r="F64" s="142"/>
      <x:c r="G64" s="208"/>
      <x:c r="H64" s="142"/>
      <x:c r="I64" s="142"/>
      <x:c r="J64" s="142"/>
      <x:c r="K64" s="142"/>
      <x:c r="L64" s="142"/>
      <x:c r="M64" s="142"/>
      <x:c r="N64" s="214" t="str">
        <x:f>IF(A64="","",SUMIF('PARTICIPAÇÕES OBRA'!$A$5:$A$254,A64,'PARTICIPAÇÕES OBRA'!$F$5:$F$254))</x:f>
      </x:c>
      <x:c r="O64" s="202" t="str">
        <x:f>IF(A64="","",IF(N64=1,"OK 100%","CONFERIR"))</x:f>
      </x:c>
      <x:c r="P64" s="142"/>
    </x:row>
    <x:row r="65" ht="19" customHeight="1">
      <x:c r="A65" s="142"/>
      <x:c r="B65" s="142"/>
      <x:c r="C65" s="142"/>
      <x:c r="D65" s="142"/>
      <x:c r="E65" s="142"/>
      <x:c r="F65" s="142"/>
      <x:c r="G65" s="208"/>
      <x:c r="H65" s="142"/>
      <x:c r="I65" s="142"/>
      <x:c r="J65" s="142"/>
      <x:c r="K65" s="142"/>
      <x:c r="L65" s="142"/>
      <x:c r="M65" s="142"/>
      <x:c r="N65" s="214" t="str">
        <x:f>IF(A65="","",SUMIF('PARTICIPAÇÕES OBRA'!$A$5:$A$254,A65,'PARTICIPAÇÕES OBRA'!$F$5:$F$254))</x:f>
      </x:c>
      <x:c r="O65" s="202" t="str">
        <x:f>IF(A65="","",IF(N65=1,"OK 100%","CONFERIR"))</x:f>
      </x:c>
      <x:c r="P65" s="142"/>
    </x:row>
    <x:row r="66" ht="19" customHeight="1">
      <x:c r="A66" s="142"/>
      <x:c r="B66" s="142"/>
      <x:c r="C66" s="142"/>
      <x:c r="D66" s="142"/>
      <x:c r="E66" s="142"/>
      <x:c r="F66" s="142"/>
      <x:c r="G66" s="208"/>
      <x:c r="H66" s="142"/>
      <x:c r="I66" s="142"/>
      <x:c r="J66" s="142"/>
      <x:c r="K66" s="142"/>
      <x:c r="L66" s="142"/>
      <x:c r="M66" s="142"/>
      <x:c r="N66" s="214" t="str">
        <x:f>IF(A66="","",SUMIF('PARTICIPAÇÕES OBRA'!$A$5:$A$254,A66,'PARTICIPAÇÕES OBRA'!$F$5:$F$254))</x:f>
      </x:c>
      <x:c r="O66" s="202" t="str">
        <x:f>IF(A66="","",IF(N66=1,"OK 100%","CONFERIR"))</x:f>
      </x:c>
      <x:c r="P66" s="142"/>
    </x:row>
    <x:row r="67" ht="19" customHeight="1">
      <x:c r="A67" s="142"/>
      <x:c r="B67" s="142"/>
      <x:c r="C67" s="142"/>
      <x:c r="D67" s="142"/>
      <x:c r="E67" s="142"/>
      <x:c r="F67" s="142"/>
      <x:c r="G67" s="208"/>
      <x:c r="H67" s="142"/>
      <x:c r="I67" s="142"/>
      <x:c r="J67" s="142"/>
      <x:c r="K67" s="142"/>
      <x:c r="L67" s="142"/>
      <x:c r="M67" s="142"/>
      <x:c r="N67" s="214" t="str">
        <x:f>IF(A67="","",SUMIF('PARTICIPAÇÕES OBRA'!$A$5:$A$254,A67,'PARTICIPAÇÕES OBRA'!$F$5:$F$254))</x:f>
      </x:c>
      <x:c r="O67" s="202" t="str">
        <x:f>IF(A67="","",IF(N67=1,"OK 100%","CONFERIR"))</x:f>
      </x:c>
      <x:c r="P67" s="142"/>
    </x:row>
    <x:row r="68" ht="19" customHeight="1">
      <x:c r="A68" s="142"/>
      <x:c r="B68" s="142"/>
      <x:c r="C68" s="142"/>
      <x:c r="D68" s="142"/>
      <x:c r="E68" s="142"/>
      <x:c r="F68" s="142"/>
      <x:c r="G68" s="208"/>
      <x:c r="H68" s="142"/>
      <x:c r="I68" s="142"/>
      <x:c r="J68" s="142"/>
      <x:c r="K68" s="142"/>
      <x:c r="L68" s="142"/>
      <x:c r="M68" s="142"/>
      <x:c r="N68" s="214" t="str">
        <x:f>IF(A68="","",SUMIF('PARTICIPAÇÕES OBRA'!$A$5:$A$254,A68,'PARTICIPAÇÕES OBRA'!$F$5:$F$254))</x:f>
      </x:c>
      <x:c r="O68" s="202" t="str">
        <x:f>IF(A68="","",IF(N68=1,"OK 100%","CONFERIR"))</x:f>
      </x:c>
      <x:c r="P68" s="142"/>
    </x:row>
    <x:row r="69" ht="19" customHeight="1">
      <x:c r="A69" s="142"/>
      <x:c r="B69" s="142"/>
      <x:c r="C69" s="142"/>
      <x:c r="D69" s="142"/>
      <x:c r="E69" s="142"/>
      <x:c r="F69" s="142"/>
      <x:c r="G69" s="208"/>
      <x:c r="H69" s="142"/>
      <x:c r="I69" s="142"/>
      <x:c r="J69" s="142"/>
      <x:c r="K69" s="142"/>
      <x:c r="L69" s="142"/>
      <x:c r="M69" s="142"/>
      <x:c r="N69" s="214" t="str">
        <x:f>IF(A69="","",SUMIF('PARTICIPAÇÕES OBRA'!$A$5:$A$254,A69,'PARTICIPAÇÕES OBRA'!$F$5:$F$254))</x:f>
      </x:c>
      <x:c r="O69" s="202" t="str">
        <x:f>IF(A69="","",IF(N69=1,"OK 100%","CONFERIR"))</x:f>
      </x:c>
      <x:c r="P69" s="142"/>
    </x:row>
    <x:row r="70" ht="19" customHeight="1">
      <x:c r="A70" s="142"/>
      <x:c r="B70" s="142"/>
      <x:c r="C70" s="142"/>
      <x:c r="D70" s="142"/>
      <x:c r="E70" s="142"/>
      <x:c r="F70" s="142"/>
      <x:c r="G70" s="208"/>
      <x:c r="H70" s="142"/>
      <x:c r="I70" s="142"/>
      <x:c r="J70" s="142"/>
      <x:c r="K70" s="142"/>
      <x:c r="L70" s="142"/>
      <x:c r="M70" s="142"/>
      <x:c r="N70" s="214" t="str">
        <x:f>IF(A70="","",SUMIF('PARTICIPAÇÕES OBRA'!$A$5:$A$254,A70,'PARTICIPAÇÕES OBRA'!$F$5:$F$254))</x:f>
      </x:c>
      <x:c r="O70" s="202" t="str">
        <x:f>IF(A70="","",IF(N70=1,"OK 100%","CONFERIR"))</x:f>
      </x:c>
      <x:c r="P70" s="142"/>
    </x:row>
    <x:row r="71" ht="19" customHeight="1">
      <x:c r="A71" s="142"/>
      <x:c r="B71" s="142"/>
      <x:c r="C71" s="142"/>
      <x:c r="D71" s="142"/>
      <x:c r="E71" s="142"/>
      <x:c r="F71" s="142"/>
      <x:c r="G71" s="208"/>
      <x:c r="H71" s="142"/>
      <x:c r="I71" s="142"/>
      <x:c r="J71" s="142"/>
      <x:c r="K71" s="142"/>
      <x:c r="L71" s="142"/>
      <x:c r="M71" s="142"/>
      <x:c r="N71" s="214" t="str">
        <x:f>IF(A71="","",SUMIF('PARTICIPAÇÕES OBRA'!$A$5:$A$254,A71,'PARTICIPAÇÕES OBRA'!$F$5:$F$254))</x:f>
      </x:c>
      <x:c r="O71" s="202" t="str">
        <x:f>IF(A71="","",IF(N71=1,"OK 100%","CONFERIR"))</x:f>
      </x:c>
      <x:c r="P71" s="142"/>
    </x:row>
    <x:row r="72" ht="19" customHeight="1">
      <x:c r="A72" s="142"/>
      <x:c r="B72" s="142"/>
      <x:c r="C72" s="142"/>
      <x:c r="D72" s="142"/>
      <x:c r="E72" s="142"/>
      <x:c r="F72" s="142"/>
      <x:c r="G72" s="208"/>
      <x:c r="H72" s="142"/>
      <x:c r="I72" s="142"/>
      <x:c r="J72" s="142"/>
      <x:c r="K72" s="142"/>
      <x:c r="L72" s="142"/>
      <x:c r="M72" s="142"/>
      <x:c r="N72" s="214" t="str">
        <x:f>IF(A72="","",SUMIF('PARTICIPAÇÕES OBRA'!$A$5:$A$254,A72,'PARTICIPAÇÕES OBRA'!$F$5:$F$254))</x:f>
      </x:c>
      <x:c r="O72" s="202" t="str">
        <x:f>IF(A72="","",IF(N72=1,"OK 100%","CONFERIR"))</x:f>
      </x:c>
      <x:c r="P72" s="142"/>
    </x:row>
    <x:row r="73" ht="19" customHeight="1">
      <x:c r="A73" s="142"/>
      <x:c r="B73" s="142"/>
      <x:c r="C73" s="142"/>
      <x:c r="D73" s="142"/>
      <x:c r="E73" s="142"/>
      <x:c r="F73" s="142"/>
      <x:c r="G73" s="208"/>
      <x:c r="H73" s="142"/>
      <x:c r="I73" s="142"/>
      <x:c r="J73" s="142"/>
      <x:c r="K73" s="142"/>
      <x:c r="L73" s="142"/>
      <x:c r="M73" s="142"/>
      <x:c r="N73" s="214" t="str">
        <x:f>IF(A73="","",SUMIF('PARTICIPAÇÕES OBRA'!$A$5:$A$254,A73,'PARTICIPAÇÕES OBRA'!$F$5:$F$254))</x:f>
      </x:c>
      <x:c r="O73" s="202" t="str">
        <x:f>IF(A73="","",IF(N73=1,"OK 100%","CONFERIR"))</x:f>
      </x:c>
      <x:c r="P73" s="142"/>
    </x:row>
    <x:row r="74" ht="19" customHeight="1">
      <x:c r="A74" s="142"/>
      <x:c r="B74" s="142"/>
      <x:c r="C74" s="142"/>
      <x:c r="D74" s="142"/>
      <x:c r="E74" s="142"/>
      <x:c r="F74" s="142"/>
      <x:c r="G74" s="208"/>
      <x:c r="H74" s="142"/>
      <x:c r="I74" s="142"/>
      <x:c r="J74" s="142"/>
      <x:c r="K74" s="142"/>
      <x:c r="L74" s="142"/>
      <x:c r="M74" s="142"/>
      <x:c r="N74" s="214" t="str">
        <x:f>IF(A74="","",SUMIF('PARTICIPAÇÕES OBRA'!$A$5:$A$254,A74,'PARTICIPAÇÕES OBRA'!$F$5:$F$254))</x:f>
      </x:c>
      <x:c r="O74" s="202" t="str">
        <x:f>IF(A74="","",IF(N74=1,"OK 100%","CONFERIR"))</x:f>
      </x:c>
      <x:c r="P74" s="142"/>
    </x:row>
    <x:row r="75" ht="19" customHeight="1">
      <x:c r="A75" s="142"/>
      <x:c r="B75" s="142"/>
      <x:c r="C75" s="142"/>
      <x:c r="D75" s="142"/>
      <x:c r="E75" s="142"/>
      <x:c r="F75" s="142"/>
      <x:c r="G75" s="208"/>
      <x:c r="H75" s="142"/>
      <x:c r="I75" s="142"/>
      <x:c r="J75" s="142"/>
      <x:c r="K75" s="142"/>
      <x:c r="L75" s="142"/>
      <x:c r="M75" s="142"/>
      <x:c r="N75" s="214" t="str">
        <x:f>IF(A75="","",SUMIF('PARTICIPAÇÕES OBRA'!$A$5:$A$254,A75,'PARTICIPAÇÕES OBRA'!$F$5:$F$254))</x:f>
      </x:c>
      <x:c r="O75" s="202" t="str">
        <x:f>IF(A75="","",IF(N75=1,"OK 100%","CONFERIR"))</x:f>
      </x:c>
      <x:c r="P75" s="142"/>
    </x:row>
    <x:row r="76" ht="19" customHeight="1">
      <x:c r="A76" s="142"/>
      <x:c r="B76" s="142"/>
      <x:c r="C76" s="142"/>
      <x:c r="D76" s="142"/>
      <x:c r="E76" s="142"/>
      <x:c r="F76" s="142"/>
      <x:c r="G76" s="208"/>
      <x:c r="H76" s="142"/>
      <x:c r="I76" s="142"/>
      <x:c r="J76" s="142"/>
      <x:c r="K76" s="142"/>
      <x:c r="L76" s="142"/>
      <x:c r="M76" s="142"/>
      <x:c r="N76" s="214" t="str">
        <x:f>IF(A76="","",SUMIF('PARTICIPAÇÕES OBRA'!$A$5:$A$254,A76,'PARTICIPAÇÕES OBRA'!$F$5:$F$254))</x:f>
      </x:c>
      <x:c r="O76" s="202" t="str">
        <x:f>IF(A76="","",IF(N76=1,"OK 100%","CONFERIR"))</x:f>
      </x:c>
      <x:c r="P76" s="142"/>
    </x:row>
    <x:row r="77" ht="19" customHeight="1">
      <x:c r="A77" s="142"/>
      <x:c r="B77" s="142"/>
      <x:c r="C77" s="142"/>
      <x:c r="D77" s="142"/>
      <x:c r="E77" s="142"/>
      <x:c r="F77" s="142"/>
      <x:c r="G77" s="208"/>
      <x:c r="H77" s="142"/>
      <x:c r="I77" s="142"/>
      <x:c r="J77" s="142"/>
      <x:c r="K77" s="142"/>
      <x:c r="L77" s="142"/>
      <x:c r="M77" s="142"/>
      <x:c r="N77" s="214" t="str">
        <x:f>IF(A77="","",SUMIF('PARTICIPAÇÕES OBRA'!$A$5:$A$254,A77,'PARTICIPAÇÕES OBRA'!$F$5:$F$254))</x:f>
      </x:c>
      <x:c r="O77" s="202" t="str">
        <x:f>IF(A77="","",IF(N77=1,"OK 100%","CONFERIR"))</x:f>
      </x:c>
      <x:c r="P77" s="142"/>
    </x:row>
    <x:row r="78" ht="19" customHeight="1">
      <x:c r="A78" s="142"/>
      <x:c r="B78" s="142"/>
      <x:c r="C78" s="142"/>
      <x:c r="D78" s="142"/>
      <x:c r="E78" s="142"/>
      <x:c r="F78" s="142"/>
      <x:c r="G78" s="208"/>
      <x:c r="H78" s="142"/>
      <x:c r="I78" s="142"/>
      <x:c r="J78" s="142"/>
      <x:c r="K78" s="142"/>
      <x:c r="L78" s="142"/>
      <x:c r="M78" s="142"/>
      <x:c r="N78" s="214" t="str">
        <x:f>IF(A78="","",SUMIF('PARTICIPAÇÕES OBRA'!$A$5:$A$254,A78,'PARTICIPAÇÕES OBRA'!$F$5:$F$254))</x:f>
      </x:c>
      <x:c r="O78" s="202" t="str">
        <x:f>IF(A78="","",IF(N78=1,"OK 100%","CONFERIR"))</x:f>
      </x:c>
      <x:c r="P78" s="142"/>
    </x:row>
    <x:row r="79" ht="19" customHeight="1">
      <x:c r="A79" s="142"/>
      <x:c r="B79" s="142"/>
      <x:c r="C79" s="142"/>
      <x:c r="D79" s="142"/>
      <x:c r="E79" s="142"/>
      <x:c r="F79" s="142"/>
      <x:c r="G79" s="208"/>
      <x:c r="H79" s="142"/>
      <x:c r="I79" s="142"/>
      <x:c r="J79" s="142"/>
      <x:c r="K79" s="142"/>
      <x:c r="L79" s="142"/>
      <x:c r="M79" s="142"/>
      <x:c r="N79" s="214" t="str">
        <x:f>IF(A79="","",SUMIF('PARTICIPAÇÕES OBRA'!$A$5:$A$254,A79,'PARTICIPAÇÕES OBRA'!$F$5:$F$254))</x:f>
      </x:c>
      <x:c r="O79" s="202" t="str">
        <x:f>IF(A79="","",IF(N79=1,"OK 100%","CONFERIR"))</x:f>
      </x:c>
      <x:c r="P79" s="142"/>
    </x:row>
    <x:row r="80" ht="19" customHeight="1">
      <x:c r="A80" s="142"/>
      <x:c r="B80" s="142"/>
      <x:c r="C80" s="142"/>
      <x:c r="D80" s="142"/>
      <x:c r="E80" s="142"/>
      <x:c r="F80" s="142"/>
      <x:c r="G80" s="208"/>
      <x:c r="H80" s="142"/>
      <x:c r="I80" s="142"/>
      <x:c r="J80" s="142"/>
      <x:c r="K80" s="142"/>
      <x:c r="L80" s="142"/>
      <x:c r="M80" s="142"/>
      <x:c r="N80" s="214" t="str">
        <x:f>IF(A80="","",SUMIF('PARTICIPAÇÕES OBRA'!$A$5:$A$254,A80,'PARTICIPAÇÕES OBRA'!$F$5:$F$254))</x:f>
      </x:c>
      <x:c r="O80" s="202" t="str">
        <x:f>IF(A80="","",IF(N80=1,"OK 100%","CONFERIR"))</x:f>
      </x:c>
      <x:c r="P80" s="142"/>
    </x:row>
    <x:row r="81" ht="19" customHeight="1">
      <x:c r="A81" s="142"/>
      <x:c r="B81" s="142"/>
      <x:c r="C81" s="142"/>
      <x:c r="D81" s="142"/>
      <x:c r="E81" s="142"/>
      <x:c r="F81" s="142"/>
      <x:c r="G81" s="208"/>
      <x:c r="H81" s="142"/>
      <x:c r="I81" s="142"/>
      <x:c r="J81" s="142"/>
      <x:c r="K81" s="142"/>
      <x:c r="L81" s="142"/>
      <x:c r="M81" s="142"/>
      <x:c r="N81" s="214" t="str">
        <x:f>IF(A81="","",SUMIF('PARTICIPAÇÕES OBRA'!$A$5:$A$254,A81,'PARTICIPAÇÕES OBRA'!$F$5:$F$254))</x:f>
      </x:c>
      <x:c r="O81" s="202" t="str">
        <x:f>IF(A81="","",IF(N81=1,"OK 100%","CONFERIR"))</x:f>
      </x:c>
      <x:c r="P81" s="142"/>
    </x:row>
    <x:row r="82" ht="19" customHeight="1">
      <x:c r="A82" s="142"/>
      <x:c r="B82" s="142"/>
      <x:c r="C82" s="142"/>
      <x:c r="D82" s="142"/>
      <x:c r="E82" s="142"/>
      <x:c r="F82" s="142"/>
      <x:c r="G82" s="208"/>
      <x:c r="H82" s="142"/>
      <x:c r="I82" s="142"/>
      <x:c r="J82" s="142"/>
      <x:c r="K82" s="142"/>
      <x:c r="L82" s="142"/>
      <x:c r="M82" s="142"/>
      <x:c r="N82" s="214" t="str">
        <x:f>IF(A82="","",SUMIF('PARTICIPAÇÕES OBRA'!$A$5:$A$254,A82,'PARTICIPAÇÕES OBRA'!$F$5:$F$254))</x:f>
      </x:c>
      <x:c r="O82" s="202" t="str">
        <x:f>IF(A82="","",IF(N82=1,"OK 100%","CONFERIR"))</x:f>
      </x:c>
      <x:c r="P82" s="142"/>
    </x:row>
    <x:row r="83" ht="19" customHeight="1">
      <x:c r="A83" s="142"/>
      <x:c r="B83" s="142"/>
      <x:c r="C83" s="142"/>
      <x:c r="D83" s="142"/>
      <x:c r="E83" s="142"/>
      <x:c r="F83" s="142"/>
      <x:c r="G83" s="208"/>
      <x:c r="H83" s="142"/>
      <x:c r="I83" s="142"/>
      <x:c r="J83" s="142"/>
      <x:c r="K83" s="142"/>
      <x:c r="L83" s="142"/>
      <x:c r="M83" s="142"/>
      <x:c r="N83" s="214" t="str">
        <x:f>IF(A83="","",SUMIF('PARTICIPAÇÕES OBRA'!$A$5:$A$254,A83,'PARTICIPAÇÕES OBRA'!$F$5:$F$254))</x:f>
      </x:c>
      <x:c r="O83" s="202" t="str">
        <x:f>IF(A83="","",IF(N83=1,"OK 100%","CONFERIR"))</x:f>
      </x:c>
      <x:c r="P83" s="142"/>
    </x:row>
    <x:row r="84" ht="19" customHeight="1">
      <x:c r="A84" s="142"/>
      <x:c r="B84" s="142"/>
      <x:c r="C84" s="142"/>
      <x:c r="D84" s="142"/>
      <x:c r="E84" s="142"/>
      <x:c r="F84" s="142"/>
      <x:c r="G84" s="208"/>
      <x:c r="H84" s="142"/>
      <x:c r="I84" s="142"/>
      <x:c r="J84" s="142"/>
      <x:c r="K84" s="142"/>
      <x:c r="L84" s="142"/>
      <x:c r="M84" s="142"/>
      <x:c r="N84" s="214" t="str">
        <x:f>IF(A84="","",SUMIF('PARTICIPAÇÕES OBRA'!$A$5:$A$254,A84,'PARTICIPAÇÕES OBRA'!$F$5:$F$254))</x:f>
      </x:c>
      <x:c r="O84" s="202" t="str">
        <x:f>IF(A84="","",IF(N84=1,"OK 100%","CONFERIR"))</x:f>
      </x:c>
      <x:c r="P84" s="142"/>
    </x:row>
    <x:row r="85" ht="19" customHeight="1">
      <x:c r="A85" s="142"/>
      <x:c r="B85" s="142"/>
      <x:c r="C85" s="142"/>
      <x:c r="D85" s="142"/>
      <x:c r="E85" s="142"/>
      <x:c r="F85" s="142"/>
      <x:c r="G85" s="208"/>
      <x:c r="H85" s="142"/>
      <x:c r="I85" s="142"/>
      <x:c r="J85" s="142"/>
      <x:c r="K85" s="142"/>
      <x:c r="L85" s="142"/>
      <x:c r="M85" s="142"/>
      <x:c r="N85" s="214" t="str">
        <x:f>IF(A85="","",SUMIF('PARTICIPAÇÕES OBRA'!$A$5:$A$254,A85,'PARTICIPAÇÕES OBRA'!$F$5:$F$254))</x:f>
      </x:c>
      <x:c r="O85" s="202" t="str">
        <x:f>IF(A85="","",IF(N85=1,"OK 100%","CONFERIR"))</x:f>
      </x:c>
      <x:c r="P85" s="142"/>
    </x:row>
    <x:row r="86" ht="19" customHeight="1">
      <x:c r="A86" s="142"/>
      <x:c r="B86" s="142"/>
      <x:c r="C86" s="142"/>
      <x:c r="D86" s="142"/>
      <x:c r="E86" s="142"/>
      <x:c r="F86" s="142"/>
      <x:c r="G86" s="208"/>
      <x:c r="H86" s="142"/>
      <x:c r="I86" s="142"/>
      <x:c r="J86" s="142"/>
      <x:c r="K86" s="142"/>
      <x:c r="L86" s="142"/>
      <x:c r="M86" s="142"/>
      <x:c r="N86" s="214" t="str">
        <x:f>IF(A86="","",SUMIF('PARTICIPAÇÕES OBRA'!$A$5:$A$254,A86,'PARTICIPAÇÕES OBRA'!$F$5:$F$254))</x:f>
      </x:c>
      <x:c r="O86" s="202" t="str">
        <x:f>IF(A86="","",IF(N86=1,"OK 100%","CONFERIR"))</x:f>
      </x:c>
      <x:c r="P86" s="142"/>
    </x:row>
    <x:row r="87" ht="19" customHeight="1">
      <x:c r="A87" s="142"/>
      <x:c r="B87" s="142"/>
      <x:c r="C87" s="142"/>
      <x:c r="D87" s="142"/>
      <x:c r="E87" s="142"/>
      <x:c r="F87" s="142"/>
      <x:c r="G87" s="208"/>
      <x:c r="H87" s="142"/>
      <x:c r="I87" s="142"/>
      <x:c r="J87" s="142"/>
      <x:c r="K87" s="142"/>
      <x:c r="L87" s="142"/>
      <x:c r="M87" s="142"/>
      <x:c r="N87" s="214" t="str">
        <x:f>IF(A87="","",SUMIF('PARTICIPAÇÕES OBRA'!$A$5:$A$254,A87,'PARTICIPAÇÕES OBRA'!$F$5:$F$254))</x:f>
      </x:c>
      <x:c r="O87" s="202" t="str">
        <x:f>IF(A87="","",IF(N87=1,"OK 100%","CONFERIR"))</x:f>
      </x:c>
      <x:c r="P87" s="142"/>
    </x:row>
    <x:row r="88" ht="19" customHeight="1">
      <x:c r="A88" s="142"/>
      <x:c r="B88" s="142"/>
      <x:c r="C88" s="142"/>
      <x:c r="D88" s="142"/>
      <x:c r="E88" s="142"/>
      <x:c r="F88" s="142"/>
      <x:c r="G88" s="208"/>
      <x:c r="H88" s="142"/>
      <x:c r="I88" s="142"/>
      <x:c r="J88" s="142"/>
      <x:c r="K88" s="142"/>
      <x:c r="L88" s="142"/>
      <x:c r="M88" s="142"/>
      <x:c r="N88" s="214" t="str">
        <x:f>IF(A88="","",SUMIF('PARTICIPAÇÕES OBRA'!$A$5:$A$254,A88,'PARTICIPAÇÕES OBRA'!$F$5:$F$254))</x:f>
      </x:c>
      <x:c r="O88" s="202" t="str">
        <x:f>IF(A88="","",IF(N88=1,"OK 100%","CONFERIR"))</x:f>
      </x:c>
      <x:c r="P88" s="142"/>
    </x:row>
    <x:row r="89" ht="19" customHeight="1">
      <x:c r="A89" s="142"/>
      <x:c r="B89" s="142"/>
      <x:c r="C89" s="142"/>
      <x:c r="D89" s="142"/>
      <x:c r="E89" s="142"/>
      <x:c r="F89" s="142"/>
      <x:c r="G89" s="208"/>
      <x:c r="H89" s="142"/>
      <x:c r="I89" s="142"/>
      <x:c r="J89" s="142"/>
      <x:c r="K89" s="142"/>
      <x:c r="L89" s="142"/>
      <x:c r="M89" s="142"/>
      <x:c r="N89" s="214" t="str">
        <x:f>IF(A89="","",SUMIF('PARTICIPAÇÕES OBRA'!$A$5:$A$254,A89,'PARTICIPAÇÕES OBRA'!$F$5:$F$254))</x:f>
      </x:c>
      <x:c r="O89" s="202" t="str">
        <x:f>IF(A89="","",IF(N89=1,"OK 100%","CONFERIR"))</x:f>
      </x:c>
      <x:c r="P89" s="142"/>
    </x:row>
    <x:row r="90" ht="19" customHeight="1">
      <x:c r="A90" s="142"/>
      <x:c r="B90" s="142"/>
      <x:c r="C90" s="142"/>
      <x:c r="D90" s="142"/>
      <x:c r="E90" s="142"/>
      <x:c r="F90" s="142"/>
      <x:c r="G90" s="208"/>
      <x:c r="H90" s="142"/>
      <x:c r="I90" s="142"/>
      <x:c r="J90" s="142"/>
      <x:c r="K90" s="142"/>
      <x:c r="L90" s="142"/>
      <x:c r="M90" s="142"/>
      <x:c r="N90" s="214" t="str">
        <x:f>IF(A90="","",SUMIF('PARTICIPAÇÕES OBRA'!$A$5:$A$254,A90,'PARTICIPAÇÕES OBRA'!$F$5:$F$254))</x:f>
      </x:c>
      <x:c r="O90" s="202" t="str">
        <x:f>IF(A90="","",IF(N90=1,"OK 100%","CONFERIR"))</x:f>
      </x:c>
      <x:c r="P90" s="142"/>
    </x:row>
    <x:row r="91" ht="19" customHeight="1">
      <x:c r="A91" s="142"/>
      <x:c r="B91" s="142"/>
      <x:c r="C91" s="142"/>
      <x:c r="D91" s="142"/>
      <x:c r="E91" s="142"/>
      <x:c r="F91" s="142"/>
      <x:c r="G91" s="208"/>
      <x:c r="H91" s="142"/>
      <x:c r="I91" s="142"/>
      <x:c r="J91" s="142"/>
      <x:c r="K91" s="142"/>
      <x:c r="L91" s="142"/>
      <x:c r="M91" s="142"/>
      <x:c r="N91" s="214" t="str">
        <x:f>IF(A91="","",SUMIF('PARTICIPAÇÕES OBRA'!$A$5:$A$254,A91,'PARTICIPAÇÕES OBRA'!$F$5:$F$254))</x:f>
      </x:c>
      <x:c r="O91" s="202" t="str">
        <x:f>IF(A91="","",IF(N91=1,"OK 100%","CONFERIR"))</x:f>
      </x:c>
      <x:c r="P91" s="142"/>
    </x:row>
    <x:row r="92" ht="19" customHeight="1">
      <x:c r="A92" s="142"/>
      <x:c r="B92" s="142"/>
      <x:c r="C92" s="142"/>
      <x:c r="D92" s="142"/>
      <x:c r="E92" s="142"/>
      <x:c r="F92" s="142"/>
      <x:c r="G92" s="208"/>
      <x:c r="H92" s="142"/>
      <x:c r="I92" s="142"/>
      <x:c r="J92" s="142"/>
      <x:c r="K92" s="142"/>
      <x:c r="L92" s="142"/>
      <x:c r="M92" s="142"/>
      <x:c r="N92" s="214" t="str">
        <x:f>IF(A92="","",SUMIF('PARTICIPAÇÕES OBRA'!$A$5:$A$254,A92,'PARTICIPAÇÕES OBRA'!$F$5:$F$254))</x:f>
      </x:c>
      <x:c r="O92" s="202" t="str">
        <x:f>IF(A92="","",IF(N92=1,"OK 100%","CONFERIR"))</x:f>
      </x:c>
      <x:c r="P92" s="142"/>
    </x:row>
    <x:row r="93" ht="19" customHeight="1">
      <x:c r="A93" s="142"/>
      <x:c r="B93" s="142"/>
      <x:c r="C93" s="142"/>
      <x:c r="D93" s="142"/>
      <x:c r="E93" s="142"/>
      <x:c r="F93" s="142"/>
      <x:c r="G93" s="208"/>
      <x:c r="H93" s="142"/>
      <x:c r="I93" s="142"/>
      <x:c r="J93" s="142"/>
      <x:c r="K93" s="142"/>
      <x:c r="L93" s="142"/>
      <x:c r="M93" s="142"/>
      <x:c r="N93" s="214" t="str">
        <x:f>IF(A93="","",SUMIF('PARTICIPAÇÕES OBRA'!$A$5:$A$254,A93,'PARTICIPAÇÕES OBRA'!$F$5:$F$254))</x:f>
      </x:c>
      <x:c r="O93" s="202" t="str">
        <x:f>IF(A93="","",IF(N93=1,"OK 100%","CONFERIR"))</x:f>
      </x:c>
      <x:c r="P93" s="142"/>
    </x:row>
    <x:row r="94" ht="19" customHeight="1">
      <x:c r="A94" s="142"/>
      <x:c r="B94" s="142"/>
      <x:c r="C94" s="142"/>
      <x:c r="D94" s="142"/>
      <x:c r="E94" s="142"/>
      <x:c r="F94" s="142"/>
      <x:c r="G94" s="208"/>
      <x:c r="H94" s="142"/>
      <x:c r="I94" s="142"/>
      <x:c r="J94" s="142"/>
      <x:c r="K94" s="142"/>
      <x:c r="L94" s="142"/>
      <x:c r="M94" s="142"/>
      <x:c r="N94" s="214" t="str">
        <x:f>IF(A94="","",SUMIF('PARTICIPAÇÕES OBRA'!$A$5:$A$254,A94,'PARTICIPAÇÕES OBRA'!$F$5:$F$254))</x:f>
      </x:c>
      <x:c r="O94" s="202" t="str">
        <x:f>IF(A94="","",IF(N94=1,"OK 100%","CONFERIR"))</x:f>
      </x:c>
      <x:c r="P94" s="142"/>
    </x:row>
    <x:row r="95" ht="19" customHeight="1">
      <x:c r="A95" s="142"/>
      <x:c r="B95" s="142"/>
      <x:c r="C95" s="142"/>
      <x:c r="D95" s="142"/>
      <x:c r="E95" s="142"/>
      <x:c r="F95" s="142"/>
      <x:c r="G95" s="208"/>
      <x:c r="H95" s="142"/>
      <x:c r="I95" s="142"/>
      <x:c r="J95" s="142"/>
      <x:c r="K95" s="142"/>
      <x:c r="L95" s="142"/>
      <x:c r="M95" s="142"/>
      <x:c r="N95" s="214" t="str">
        <x:f>IF(A95="","",SUMIF('PARTICIPAÇÕES OBRA'!$A$5:$A$254,A95,'PARTICIPAÇÕES OBRA'!$F$5:$F$254))</x:f>
      </x:c>
      <x:c r="O95" s="202" t="str">
        <x:f>IF(A95="","",IF(N95=1,"OK 100%","CONFERIR"))</x:f>
      </x:c>
      <x:c r="P95" s="142"/>
    </x:row>
    <x:row r="96" ht="19" customHeight="1">
      <x:c r="A96" s="142"/>
      <x:c r="B96" s="142"/>
      <x:c r="C96" s="142"/>
      <x:c r="D96" s="142"/>
      <x:c r="E96" s="142"/>
      <x:c r="F96" s="142"/>
      <x:c r="G96" s="208"/>
      <x:c r="H96" s="142"/>
      <x:c r="I96" s="142"/>
      <x:c r="J96" s="142"/>
      <x:c r="K96" s="142"/>
      <x:c r="L96" s="142"/>
      <x:c r="M96" s="142"/>
      <x:c r="N96" s="214" t="str">
        <x:f>IF(A96="","",SUMIF('PARTICIPAÇÕES OBRA'!$A$5:$A$254,A96,'PARTICIPAÇÕES OBRA'!$F$5:$F$254))</x:f>
      </x:c>
      <x:c r="O96" s="202" t="str">
        <x:f>IF(A96="","",IF(N96=1,"OK 100%","CONFERIR"))</x:f>
      </x:c>
      <x:c r="P96" s="142"/>
    </x:row>
    <x:row r="97" ht="19" customHeight="1">
      <x:c r="A97" s="142"/>
      <x:c r="B97" s="142"/>
      <x:c r="C97" s="142"/>
      <x:c r="D97" s="142"/>
      <x:c r="E97" s="142"/>
      <x:c r="F97" s="142"/>
      <x:c r="G97" s="208"/>
      <x:c r="H97" s="142"/>
      <x:c r="I97" s="142"/>
      <x:c r="J97" s="142"/>
      <x:c r="K97" s="142"/>
      <x:c r="L97" s="142"/>
      <x:c r="M97" s="142"/>
      <x:c r="N97" s="214" t="str">
        <x:f>IF(A97="","",SUMIF('PARTICIPAÇÕES OBRA'!$A$5:$A$254,A97,'PARTICIPAÇÕES OBRA'!$F$5:$F$254))</x:f>
      </x:c>
      <x:c r="O97" s="202" t="str">
        <x:f>IF(A97="","",IF(N97=1,"OK 100%","CONFERIR"))</x:f>
      </x:c>
      <x:c r="P97" s="142"/>
    </x:row>
    <x:row r="98" ht="19" customHeight="1">
      <x:c r="A98" s="142"/>
      <x:c r="B98" s="142"/>
      <x:c r="C98" s="142"/>
      <x:c r="D98" s="142"/>
      <x:c r="E98" s="142"/>
      <x:c r="F98" s="142"/>
      <x:c r="G98" s="208"/>
      <x:c r="H98" s="142"/>
      <x:c r="I98" s="142"/>
      <x:c r="J98" s="142"/>
      <x:c r="K98" s="142"/>
      <x:c r="L98" s="142"/>
      <x:c r="M98" s="142"/>
      <x:c r="N98" s="214" t="str">
        <x:f>IF(A98="","",SUMIF('PARTICIPAÇÕES OBRA'!$A$5:$A$254,A98,'PARTICIPAÇÕES OBRA'!$F$5:$F$254))</x:f>
      </x:c>
      <x:c r="O98" s="202" t="str">
        <x:f>IF(A98="","",IF(N98=1,"OK 100%","CONFERIR"))</x:f>
      </x:c>
      <x:c r="P98" s="142"/>
    </x:row>
    <x:row r="99" ht="19" customHeight="1">
      <x:c r="A99" s="142"/>
      <x:c r="B99" s="142"/>
      <x:c r="C99" s="142"/>
      <x:c r="D99" s="142"/>
      <x:c r="E99" s="142"/>
      <x:c r="F99" s="142"/>
      <x:c r="G99" s="208"/>
      <x:c r="H99" s="142"/>
      <x:c r="I99" s="142"/>
      <x:c r="J99" s="142"/>
      <x:c r="K99" s="142"/>
      <x:c r="L99" s="142"/>
      <x:c r="M99" s="142"/>
      <x:c r="N99" s="214" t="str">
        <x:f>IF(A99="","",SUMIF('PARTICIPAÇÕES OBRA'!$A$5:$A$254,A99,'PARTICIPAÇÕES OBRA'!$F$5:$F$254))</x:f>
      </x:c>
      <x:c r="O99" s="202" t="str">
        <x:f>IF(A99="","",IF(N99=1,"OK 100%","CONFERIR"))</x:f>
      </x:c>
      <x:c r="P99" s="142"/>
    </x:row>
    <x:row r="100" ht="19" customHeight="1">
      <x:c r="A100" s="142"/>
      <x:c r="B100" s="142"/>
      <x:c r="C100" s="142"/>
      <x:c r="D100" s="142"/>
      <x:c r="E100" s="142"/>
      <x:c r="F100" s="142"/>
      <x:c r="G100" s="208"/>
      <x:c r="H100" s="142"/>
      <x:c r="I100" s="142"/>
      <x:c r="J100" s="142"/>
      <x:c r="K100" s="142"/>
      <x:c r="L100" s="142"/>
      <x:c r="M100" s="142"/>
      <x:c r="N100" s="214" t="str">
        <x:f>IF(A100="","",SUMIF('PARTICIPAÇÕES OBRA'!$A$5:$A$254,A100,'PARTICIPAÇÕES OBRA'!$F$5:$F$254))</x:f>
      </x:c>
      <x:c r="O100" s="202" t="str">
        <x:f>IF(A100="","",IF(N100=1,"OK 100%","CONFERIR"))</x:f>
      </x:c>
      <x:c r="P100" s="142"/>
    </x:row>
    <x:row r="101" ht="19" customHeight="1">
      <x:c r="A101" s="142"/>
      <x:c r="B101" s="142"/>
      <x:c r="C101" s="142"/>
      <x:c r="D101" s="142"/>
      <x:c r="E101" s="142"/>
      <x:c r="F101" s="142"/>
      <x:c r="G101" s="208"/>
      <x:c r="H101" s="142"/>
      <x:c r="I101" s="142"/>
      <x:c r="J101" s="142"/>
      <x:c r="K101" s="142"/>
      <x:c r="L101" s="142"/>
      <x:c r="M101" s="142"/>
      <x:c r="N101" s="214" t="str">
        <x:f>IF(A101="","",SUMIF('PARTICIPAÇÕES OBRA'!$A$5:$A$254,A101,'PARTICIPAÇÕES OBRA'!$F$5:$F$254))</x:f>
      </x:c>
      <x:c r="O101" s="202" t="str">
        <x:f>IF(A101="","",IF(N101=1,"OK 100%","CONFERIR"))</x:f>
      </x:c>
      <x:c r="P101" s="142"/>
    </x:row>
    <x:row r="102" ht="19" customHeight="1">
      <x:c r="A102" s="142"/>
      <x:c r="B102" s="142"/>
      <x:c r="C102" s="142"/>
      <x:c r="D102" s="142"/>
      <x:c r="E102" s="142"/>
      <x:c r="F102" s="142"/>
      <x:c r="G102" s="208"/>
      <x:c r="H102" s="142"/>
      <x:c r="I102" s="142"/>
      <x:c r="J102" s="142"/>
      <x:c r="K102" s="142"/>
      <x:c r="L102" s="142"/>
      <x:c r="M102" s="142"/>
      <x:c r="N102" s="214" t="str">
        <x:f>IF(A102="","",SUMIF('PARTICIPAÇÕES OBRA'!$A$5:$A$254,A102,'PARTICIPAÇÕES OBRA'!$F$5:$F$254))</x:f>
      </x:c>
      <x:c r="O102" s="202" t="str">
        <x:f>IF(A102="","",IF(N102=1,"OK 100%","CONFERIR"))</x:f>
      </x:c>
      <x:c r="P102" s="142"/>
    </x:row>
    <x:row r="103" ht="19" customHeight="1">
      <x:c r="A103" s="142"/>
      <x:c r="B103" s="142"/>
      <x:c r="C103" s="142"/>
      <x:c r="D103" s="142"/>
      <x:c r="E103" s="142"/>
      <x:c r="F103" s="142"/>
      <x:c r="G103" s="208"/>
      <x:c r="H103" s="142"/>
      <x:c r="I103" s="142"/>
      <x:c r="J103" s="142"/>
      <x:c r="K103" s="142"/>
      <x:c r="L103" s="142"/>
      <x:c r="M103" s="142"/>
      <x:c r="N103" s="214" t="str">
        <x:f>IF(A103="","",SUMIF('PARTICIPAÇÕES OBRA'!$A$5:$A$254,A103,'PARTICIPAÇÕES OBRA'!$F$5:$F$254))</x:f>
      </x:c>
      <x:c r="O103" s="202" t="str">
        <x:f>IF(A103="","",IF(N103=1,"OK 100%","CONFERIR"))</x:f>
      </x:c>
      <x:c r="P103" s="142"/>
    </x:row>
    <x:row r="104" ht="19" customHeight="1">
      <x:c r="A104" s="142"/>
      <x:c r="B104" s="142"/>
      <x:c r="C104" s="142"/>
      <x:c r="D104" s="142"/>
      <x:c r="E104" s="142"/>
      <x:c r="F104" s="142"/>
      <x:c r="G104" s="208"/>
      <x:c r="H104" s="142"/>
      <x:c r="I104" s="142"/>
      <x:c r="J104" s="142"/>
      <x:c r="K104" s="142"/>
      <x:c r="L104" s="142"/>
      <x:c r="M104" s="142"/>
      <x:c r="N104" s="214" t="str">
        <x:f>IF(A104="","",SUMIF('PARTICIPAÇÕES OBRA'!$A$5:$A$254,A104,'PARTICIPAÇÕES OBRA'!$F$5:$F$254))</x:f>
      </x:c>
      <x:c r="O104" s="202" t="str">
        <x:f>IF(A104="","",IF(N104=1,"OK 100%","CONFERIR"))</x:f>
      </x:c>
      <x:c r="P104" s="142"/>
    </x:row>
    <x:row r="105" ht="19" customHeight="1">
      <x:c r="A105" s="142"/>
      <x:c r="B105" s="142"/>
      <x:c r="C105" s="142"/>
      <x:c r="D105" s="142"/>
      <x:c r="E105" s="142"/>
      <x:c r="F105" s="142"/>
      <x:c r="G105" s="208"/>
      <x:c r="H105" s="142"/>
      <x:c r="I105" s="142"/>
      <x:c r="J105" s="142"/>
      <x:c r="K105" s="142"/>
      <x:c r="L105" s="142"/>
      <x:c r="M105" s="142"/>
      <x:c r="N105" s="214" t="str">
        <x:f>IF(A105="","",SUMIF('PARTICIPAÇÕES OBRA'!$A$5:$A$254,A105,'PARTICIPAÇÕES OBRA'!$F$5:$F$254))</x:f>
      </x:c>
      <x:c r="O105" s="202" t="str">
        <x:f>IF(A105="","",IF(N105=1,"OK 100%","CONFERIR"))</x:f>
      </x:c>
      <x:c r="P105" s="142"/>
    </x:row>
    <x:row r="106" ht="19" customHeight="1">
      <x:c r="A106" s="142"/>
      <x:c r="B106" s="142"/>
      <x:c r="C106" s="142"/>
      <x:c r="D106" s="142"/>
      <x:c r="E106" s="142"/>
      <x:c r="F106" s="142"/>
      <x:c r="G106" s="208"/>
      <x:c r="H106" s="142"/>
      <x:c r="I106" s="142"/>
      <x:c r="J106" s="142"/>
      <x:c r="K106" s="142"/>
      <x:c r="L106" s="142"/>
      <x:c r="M106" s="142"/>
      <x:c r="N106" s="214" t="str">
        <x:f>IF(A106="","",SUMIF('PARTICIPAÇÕES OBRA'!$A$5:$A$254,A106,'PARTICIPAÇÕES OBRA'!$F$5:$F$254))</x:f>
      </x:c>
      <x:c r="O106" s="202" t="str">
        <x:f>IF(A106="","",IF(N106=1,"OK 100%","CONFERIR"))</x:f>
      </x:c>
      <x:c r="P106" s="142"/>
    </x:row>
    <x:row r="107" ht="19" customHeight="1">
      <x:c r="A107" s="142"/>
      <x:c r="B107" s="142"/>
      <x:c r="C107" s="142"/>
      <x:c r="D107" s="142"/>
      <x:c r="E107" s="142"/>
      <x:c r="F107" s="142"/>
      <x:c r="G107" s="208"/>
      <x:c r="H107" s="142"/>
      <x:c r="I107" s="142"/>
      <x:c r="J107" s="142"/>
      <x:c r="K107" s="142"/>
      <x:c r="L107" s="142"/>
      <x:c r="M107" s="142"/>
      <x:c r="N107" s="214" t="str">
        <x:f>IF(A107="","",SUMIF('PARTICIPAÇÕES OBRA'!$A$5:$A$254,A107,'PARTICIPAÇÕES OBRA'!$F$5:$F$254))</x:f>
      </x:c>
      <x:c r="O107" s="202" t="str">
        <x:f>IF(A107="","",IF(N107=1,"OK 100%","CONFERIR"))</x:f>
      </x:c>
      <x:c r="P107" s="142"/>
    </x:row>
    <x:row r="108" ht="19" customHeight="1">
      <x:c r="A108" s="142"/>
      <x:c r="B108" s="142"/>
      <x:c r="C108" s="142"/>
      <x:c r="D108" s="142"/>
      <x:c r="E108" s="142"/>
      <x:c r="F108" s="142"/>
      <x:c r="G108" s="208"/>
      <x:c r="H108" s="142"/>
      <x:c r="I108" s="142"/>
      <x:c r="J108" s="142"/>
      <x:c r="K108" s="142"/>
      <x:c r="L108" s="142"/>
      <x:c r="M108" s="142"/>
      <x:c r="N108" s="214" t="str">
        <x:f>IF(A108="","",SUMIF('PARTICIPAÇÕES OBRA'!$A$5:$A$254,A108,'PARTICIPAÇÕES OBRA'!$F$5:$F$254))</x:f>
      </x:c>
      <x:c r="O108" s="202" t="str">
        <x:f>IF(A108="","",IF(N108=1,"OK 100%","CONFERIR"))</x:f>
      </x:c>
      <x:c r="P108" s="142"/>
    </x:row>
    <x:row r="109" ht="19" customHeight="1">
      <x:c r="A109" s="142"/>
      <x:c r="B109" s="142"/>
      <x:c r="C109" s="142"/>
      <x:c r="D109" s="142"/>
      <x:c r="E109" s="142"/>
      <x:c r="F109" s="142"/>
      <x:c r="G109" s="208"/>
      <x:c r="H109" s="142"/>
      <x:c r="I109" s="142"/>
      <x:c r="J109" s="142"/>
      <x:c r="K109" s="142"/>
      <x:c r="L109" s="142"/>
      <x:c r="M109" s="142"/>
      <x:c r="N109" s="214" t="str">
        <x:f>IF(A109="","",SUMIF('PARTICIPAÇÕES OBRA'!$A$5:$A$254,A109,'PARTICIPAÇÕES OBRA'!$F$5:$F$254))</x:f>
      </x:c>
      <x:c r="O109" s="202" t="str">
        <x:f>IF(A109="","",IF(N109=1,"OK 100%","CONFERIR"))</x:f>
      </x:c>
      <x:c r="P109" s="142"/>
    </x:row>
    <x:row r="110" ht="19" customHeight="1">
      <x:c r="A110" s="142"/>
      <x:c r="B110" s="142"/>
      <x:c r="C110" s="142"/>
      <x:c r="D110" s="142"/>
      <x:c r="E110" s="142"/>
      <x:c r="F110" s="142"/>
      <x:c r="G110" s="208"/>
      <x:c r="H110" s="142"/>
      <x:c r="I110" s="142"/>
      <x:c r="J110" s="142"/>
      <x:c r="K110" s="142"/>
      <x:c r="L110" s="142"/>
      <x:c r="M110" s="142"/>
      <x:c r="N110" s="214" t="str">
        <x:f>IF(A110="","",SUMIF('PARTICIPAÇÕES OBRA'!$A$5:$A$254,A110,'PARTICIPAÇÕES OBRA'!$F$5:$F$254))</x:f>
      </x:c>
      <x:c r="O110" s="202" t="str">
        <x:f>IF(A110="","",IF(N110=1,"OK 100%","CONFERIR"))</x:f>
      </x:c>
      <x:c r="P110" s="142"/>
    </x:row>
    <x:row r="111" ht="19" customHeight="1">
      <x:c r="A111" s="142"/>
      <x:c r="B111" s="142"/>
      <x:c r="C111" s="142"/>
      <x:c r="D111" s="142"/>
      <x:c r="E111" s="142"/>
      <x:c r="F111" s="142"/>
      <x:c r="G111" s="208"/>
      <x:c r="H111" s="142"/>
      <x:c r="I111" s="142"/>
      <x:c r="J111" s="142"/>
      <x:c r="K111" s="142"/>
      <x:c r="L111" s="142"/>
      <x:c r="M111" s="142"/>
      <x:c r="N111" s="214" t="str">
        <x:f>IF(A111="","",SUMIF('PARTICIPAÇÕES OBRA'!$A$5:$A$254,A111,'PARTICIPAÇÕES OBRA'!$F$5:$F$254))</x:f>
      </x:c>
      <x:c r="O111" s="202" t="str">
        <x:f>IF(A111="","",IF(N111=1,"OK 100%","CONFERIR"))</x:f>
      </x:c>
      <x:c r="P111" s="142"/>
    </x:row>
    <x:row r="112" ht="19" customHeight="1">
      <x:c r="A112" s="142"/>
      <x:c r="B112" s="142"/>
      <x:c r="C112" s="142"/>
      <x:c r="D112" s="142"/>
      <x:c r="E112" s="142"/>
      <x:c r="F112" s="142"/>
      <x:c r="G112" s="208"/>
      <x:c r="H112" s="142"/>
      <x:c r="I112" s="142"/>
      <x:c r="J112" s="142"/>
      <x:c r="K112" s="142"/>
      <x:c r="L112" s="142"/>
      <x:c r="M112" s="142"/>
      <x:c r="N112" s="214" t="str">
        <x:f>IF(A112="","",SUMIF('PARTICIPAÇÕES OBRA'!$A$5:$A$254,A112,'PARTICIPAÇÕES OBRA'!$F$5:$F$254))</x:f>
      </x:c>
      <x:c r="O112" s="202" t="str">
        <x:f>IF(A112="","",IF(N112=1,"OK 100%","CONFERIR"))</x:f>
      </x:c>
      <x:c r="P112" s="142"/>
    </x:row>
    <x:row r="113" ht="19" customHeight="1">
      <x:c r="A113" s="142"/>
      <x:c r="B113" s="142"/>
      <x:c r="C113" s="142"/>
      <x:c r="D113" s="142"/>
      <x:c r="E113" s="142"/>
      <x:c r="F113" s="142"/>
      <x:c r="G113" s="208"/>
      <x:c r="H113" s="142"/>
      <x:c r="I113" s="142"/>
      <x:c r="J113" s="142"/>
      <x:c r="K113" s="142"/>
      <x:c r="L113" s="142"/>
      <x:c r="M113" s="142"/>
      <x:c r="N113" s="214" t="str">
        <x:f>IF(A113="","",SUMIF('PARTICIPAÇÕES OBRA'!$A$5:$A$254,A113,'PARTICIPAÇÕES OBRA'!$F$5:$F$254))</x:f>
      </x:c>
      <x:c r="O113" s="202" t="str">
        <x:f>IF(A113="","",IF(N113=1,"OK 100%","CONFERIR"))</x:f>
      </x:c>
      <x:c r="P113" s="142"/>
    </x:row>
    <x:row r="114" ht="19" customHeight="1">
      <x:c r="A114" s="142"/>
      <x:c r="B114" s="142"/>
      <x:c r="C114" s="142"/>
      <x:c r="D114" s="142"/>
      <x:c r="E114" s="142"/>
      <x:c r="F114" s="142"/>
      <x:c r="G114" s="208"/>
      <x:c r="H114" s="142"/>
      <x:c r="I114" s="142"/>
      <x:c r="J114" s="142"/>
      <x:c r="K114" s="142"/>
      <x:c r="L114" s="142"/>
      <x:c r="M114" s="142"/>
      <x:c r="N114" s="214" t="str">
        <x:f>IF(A114="","",SUMIF('PARTICIPAÇÕES OBRA'!$A$5:$A$254,A114,'PARTICIPAÇÕES OBRA'!$F$5:$F$254))</x:f>
      </x:c>
      <x:c r="O114" s="202" t="str">
        <x:f>IF(A114="","",IF(N114=1,"OK 100%","CONFERIR"))</x:f>
      </x:c>
      <x:c r="P114" s="142"/>
    </x:row>
    <x:row r="115" ht="19" customHeight="1">
      <x:c r="A115" s="142"/>
      <x:c r="B115" s="142"/>
      <x:c r="C115" s="142"/>
      <x:c r="D115" s="142"/>
      <x:c r="E115" s="142"/>
      <x:c r="F115" s="142"/>
      <x:c r="G115" s="208"/>
      <x:c r="H115" s="142"/>
      <x:c r="I115" s="142"/>
      <x:c r="J115" s="142"/>
      <x:c r="K115" s="142"/>
      <x:c r="L115" s="142"/>
      <x:c r="M115" s="142"/>
      <x:c r="N115" s="214" t="str">
        <x:f>IF(A115="","",SUMIF('PARTICIPAÇÕES OBRA'!$A$5:$A$254,A115,'PARTICIPAÇÕES OBRA'!$F$5:$F$254))</x:f>
      </x:c>
      <x:c r="O115" s="202" t="str">
        <x:f>IF(A115="","",IF(N115=1,"OK 100%","CONFERIR"))</x:f>
      </x:c>
      <x:c r="P115" s="142"/>
    </x:row>
    <x:row r="116" ht="19" customHeight="1">
      <x:c r="A116" s="142"/>
      <x:c r="B116" s="142"/>
      <x:c r="C116" s="142"/>
      <x:c r="D116" s="142"/>
      <x:c r="E116" s="142"/>
      <x:c r="F116" s="142"/>
      <x:c r="G116" s="208"/>
      <x:c r="H116" s="142"/>
      <x:c r="I116" s="142"/>
      <x:c r="J116" s="142"/>
      <x:c r="K116" s="142"/>
      <x:c r="L116" s="142"/>
      <x:c r="M116" s="142"/>
      <x:c r="N116" s="214" t="str">
        <x:f>IF(A116="","",SUMIF('PARTICIPAÇÕES OBRA'!$A$5:$A$254,A116,'PARTICIPAÇÕES OBRA'!$F$5:$F$254))</x:f>
      </x:c>
      <x:c r="O116" s="202" t="str">
        <x:f>IF(A116="","",IF(N116=1,"OK 100%","CONFERIR"))</x:f>
      </x:c>
      <x:c r="P116" s="142"/>
    </x:row>
    <x:row r="117" ht="19" customHeight="1">
      <x:c r="A117" s="142"/>
      <x:c r="B117" s="142"/>
      <x:c r="C117" s="142"/>
      <x:c r="D117" s="142"/>
      <x:c r="E117" s="142"/>
      <x:c r="F117" s="142"/>
      <x:c r="G117" s="208"/>
      <x:c r="H117" s="142"/>
      <x:c r="I117" s="142"/>
      <x:c r="J117" s="142"/>
      <x:c r="K117" s="142"/>
      <x:c r="L117" s="142"/>
      <x:c r="M117" s="142"/>
      <x:c r="N117" s="214" t="str">
        <x:f>IF(A117="","",SUMIF('PARTICIPAÇÕES OBRA'!$A$5:$A$254,A117,'PARTICIPAÇÕES OBRA'!$F$5:$F$254))</x:f>
      </x:c>
      <x:c r="O117" s="202" t="str">
        <x:f>IF(A117="","",IF(N117=1,"OK 100%","CONFERIR"))</x:f>
      </x:c>
      <x:c r="P117" s="142"/>
    </x:row>
    <x:row r="118" ht="19" customHeight="1">
      <x:c r="A118" s="142"/>
      <x:c r="B118" s="142"/>
      <x:c r="C118" s="142"/>
      <x:c r="D118" s="142"/>
      <x:c r="E118" s="142"/>
      <x:c r="F118" s="142"/>
      <x:c r="G118" s="208"/>
      <x:c r="H118" s="142"/>
      <x:c r="I118" s="142"/>
      <x:c r="J118" s="142"/>
      <x:c r="K118" s="142"/>
      <x:c r="L118" s="142"/>
      <x:c r="M118" s="142"/>
      <x:c r="N118" s="214" t="str">
        <x:f>IF(A118="","",SUMIF('PARTICIPAÇÕES OBRA'!$A$5:$A$254,A118,'PARTICIPAÇÕES OBRA'!$F$5:$F$254))</x:f>
      </x:c>
      <x:c r="O118" s="202" t="str">
        <x:f>IF(A118="","",IF(N118=1,"OK 100%","CONFERIR"))</x:f>
      </x:c>
      <x:c r="P118" s="142"/>
    </x:row>
    <x:row r="119" ht="19" customHeight="1">
      <x:c r="A119" s="142"/>
      <x:c r="B119" s="142"/>
      <x:c r="C119" s="142"/>
      <x:c r="D119" s="142"/>
      <x:c r="E119" s="142"/>
      <x:c r="F119" s="142"/>
      <x:c r="G119" s="208"/>
      <x:c r="H119" s="142"/>
      <x:c r="I119" s="142"/>
      <x:c r="J119" s="142"/>
      <x:c r="K119" s="142"/>
      <x:c r="L119" s="142"/>
      <x:c r="M119" s="142"/>
      <x:c r="N119" s="214" t="str">
        <x:f>IF(A119="","",SUMIF('PARTICIPAÇÕES OBRA'!$A$5:$A$254,A119,'PARTICIPAÇÕES OBRA'!$F$5:$F$254))</x:f>
      </x:c>
      <x:c r="O119" s="202" t="str">
        <x:f>IF(A119="","",IF(N119=1,"OK 100%","CONFERIR"))</x:f>
      </x:c>
      <x:c r="P119" s="142"/>
    </x:row>
    <x:row r="120" ht="19" customHeight="1">
      <x:c r="A120" s="142"/>
      <x:c r="B120" s="142"/>
      <x:c r="C120" s="142"/>
      <x:c r="D120" s="142"/>
      <x:c r="E120" s="142"/>
      <x:c r="F120" s="142"/>
      <x:c r="G120" s="208"/>
      <x:c r="H120" s="142"/>
      <x:c r="I120" s="142"/>
      <x:c r="J120" s="142"/>
      <x:c r="K120" s="142"/>
      <x:c r="L120" s="142"/>
      <x:c r="M120" s="142"/>
      <x:c r="N120" s="214" t="str">
        <x:f>IF(A120="","",SUMIF('PARTICIPAÇÕES OBRA'!$A$5:$A$254,A120,'PARTICIPAÇÕES OBRA'!$F$5:$F$254))</x:f>
      </x:c>
      <x:c r="O120" s="202" t="str">
        <x:f>IF(A120="","",IF(N120=1,"OK 100%","CONFERIR"))</x:f>
      </x:c>
      <x:c r="P120" s="142"/>
    </x:row>
    <x:row r="121" ht="19" customHeight="1">
      <x:c r="A121" s="142"/>
      <x:c r="B121" s="142"/>
      <x:c r="C121" s="142"/>
      <x:c r="D121" s="142"/>
      <x:c r="E121" s="142"/>
      <x:c r="F121" s="142"/>
      <x:c r="G121" s="208"/>
      <x:c r="H121" s="142"/>
      <x:c r="I121" s="142"/>
      <x:c r="J121" s="142"/>
      <x:c r="K121" s="142"/>
      <x:c r="L121" s="142"/>
      <x:c r="M121" s="142"/>
      <x:c r="N121" s="214" t="str">
        <x:f>IF(A121="","",SUMIF('PARTICIPAÇÕES OBRA'!$A$5:$A$254,A121,'PARTICIPAÇÕES OBRA'!$F$5:$F$254))</x:f>
      </x:c>
      <x:c r="O121" s="202" t="str">
        <x:f>IF(A121="","",IF(N121=1,"OK 100%","CONFERIR"))</x:f>
      </x:c>
      <x:c r="P121" s="142"/>
    </x:row>
    <x:row r="122" ht="19" customHeight="1">
      <x:c r="A122" s="142"/>
      <x:c r="B122" s="142"/>
      <x:c r="C122" s="142"/>
      <x:c r="D122" s="142"/>
      <x:c r="E122" s="142"/>
      <x:c r="F122" s="142"/>
      <x:c r="G122" s="208"/>
      <x:c r="H122" s="142"/>
      <x:c r="I122" s="142"/>
      <x:c r="J122" s="142"/>
      <x:c r="K122" s="142"/>
      <x:c r="L122" s="142"/>
      <x:c r="M122" s="142"/>
      <x:c r="N122" s="214" t="str">
        <x:f>IF(A122="","",SUMIF('PARTICIPAÇÕES OBRA'!$A$5:$A$254,A122,'PARTICIPAÇÕES OBRA'!$F$5:$F$254))</x:f>
      </x:c>
      <x:c r="O122" s="202" t="str">
        <x:f>IF(A122="","",IF(N122=1,"OK 100%","CONFERIR"))</x:f>
      </x:c>
      <x:c r="P122" s="142"/>
    </x:row>
    <x:row r="123" ht="19" customHeight="1">
      <x:c r="A123" s="142"/>
      <x:c r="B123" s="142"/>
      <x:c r="C123" s="142"/>
      <x:c r="D123" s="142"/>
      <x:c r="E123" s="142"/>
      <x:c r="F123" s="142"/>
      <x:c r="G123" s="208"/>
      <x:c r="H123" s="142"/>
      <x:c r="I123" s="142"/>
      <x:c r="J123" s="142"/>
      <x:c r="K123" s="142"/>
      <x:c r="L123" s="142"/>
      <x:c r="M123" s="142"/>
      <x:c r="N123" s="214" t="str">
        <x:f>IF(A123="","",SUMIF('PARTICIPAÇÕES OBRA'!$A$5:$A$254,A123,'PARTICIPAÇÕES OBRA'!$F$5:$F$254))</x:f>
      </x:c>
      <x:c r="O123" s="202" t="str">
        <x:f>IF(A123="","",IF(N123=1,"OK 100%","CONFERIR"))</x:f>
      </x:c>
      <x:c r="P123" s="142"/>
    </x:row>
    <x:row r="124" ht="19" customHeight="1">
      <x:c r="A124" s="142"/>
      <x:c r="B124" s="142"/>
      <x:c r="C124" s="142"/>
      <x:c r="D124" s="142"/>
      <x:c r="E124" s="142"/>
      <x:c r="F124" s="142"/>
      <x:c r="G124" s="208"/>
      <x:c r="H124" s="142"/>
      <x:c r="I124" s="142"/>
      <x:c r="J124" s="142"/>
      <x:c r="K124" s="142"/>
      <x:c r="L124" s="142"/>
      <x:c r="M124" s="142"/>
      <x:c r="N124" s="214" t="str">
        <x:f>IF(A124="","",SUMIF('PARTICIPAÇÕES OBRA'!$A$5:$A$254,A124,'PARTICIPAÇÕES OBRA'!$F$5:$F$254))</x:f>
      </x:c>
      <x:c r="O124" s="202" t="str">
        <x:f>IF(A124="","",IF(N124=1,"OK 100%","CONFERIR"))</x:f>
      </x:c>
      <x:c r="P124" s="142"/>
    </x:row>
    <x:row r="125" ht="19" customHeight="1">
      <x:c r="A125" s="142"/>
      <x:c r="B125" s="142"/>
      <x:c r="C125" s="142"/>
      <x:c r="D125" s="142"/>
      <x:c r="E125" s="142"/>
      <x:c r="F125" s="142"/>
      <x:c r="G125" s="208"/>
      <x:c r="H125" s="142"/>
      <x:c r="I125" s="142"/>
      <x:c r="J125" s="142"/>
      <x:c r="K125" s="142"/>
      <x:c r="L125" s="142"/>
      <x:c r="M125" s="142"/>
      <x:c r="N125" s="214" t="str">
        <x:f>IF(A125="","",SUMIF('PARTICIPAÇÕES OBRA'!$A$5:$A$254,A125,'PARTICIPAÇÕES OBRA'!$F$5:$F$254))</x:f>
      </x:c>
      <x:c r="O125" s="202" t="str">
        <x:f>IF(A125="","",IF(N125=1,"OK 100%","CONFERIR"))</x:f>
      </x:c>
      <x:c r="P125" s="142"/>
    </x:row>
    <x:row r="126" ht="19" customHeight="1">
      <x:c r="A126" s="142"/>
      <x:c r="B126" s="142"/>
      <x:c r="C126" s="142"/>
      <x:c r="D126" s="142"/>
      <x:c r="E126" s="142"/>
      <x:c r="F126" s="142"/>
      <x:c r="G126" s="208"/>
      <x:c r="H126" s="142"/>
      <x:c r="I126" s="142"/>
      <x:c r="J126" s="142"/>
      <x:c r="K126" s="142"/>
      <x:c r="L126" s="142"/>
      <x:c r="M126" s="142"/>
      <x:c r="N126" s="214" t="str">
        <x:f>IF(A126="","",SUMIF('PARTICIPAÇÕES OBRA'!$A$5:$A$254,A126,'PARTICIPAÇÕES OBRA'!$F$5:$F$254))</x:f>
      </x:c>
      <x:c r="O126" s="202" t="str">
        <x:f>IF(A126="","",IF(N126=1,"OK 100%","CONFERIR"))</x:f>
      </x:c>
      <x:c r="P126" s="142"/>
    </x:row>
    <x:row r="127" ht="19" customHeight="1">
      <x:c r="A127" s="142"/>
      <x:c r="B127" s="142"/>
      <x:c r="C127" s="142"/>
      <x:c r="D127" s="142"/>
      <x:c r="E127" s="142"/>
      <x:c r="F127" s="142"/>
      <x:c r="G127" s="208"/>
      <x:c r="H127" s="142"/>
      <x:c r="I127" s="142"/>
      <x:c r="J127" s="142"/>
      <x:c r="K127" s="142"/>
      <x:c r="L127" s="142"/>
      <x:c r="M127" s="142"/>
      <x:c r="N127" s="214" t="str">
        <x:f>IF(A127="","",SUMIF('PARTICIPAÇÕES OBRA'!$A$5:$A$254,A127,'PARTICIPAÇÕES OBRA'!$F$5:$F$254))</x:f>
      </x:c>
      <x:c r="O127" s="202" t="str">
        <x:f>IF(A127="","",IF(N127=1,"OK 100%","CONFERIR"))</x:f>
      </x:c>
      <x:c r="P127" s="142"/>
    </x:row>
    <x:row r="128" ht="19" customHeight="1">
      <x:c r="A128" s="142"/>
      <x:c r="B128" s="142"/>
      <x:c r="C128" s="142"/>
      <x:c r="D128" s="142"/>
      <x:c r="E128" s="142"/>
      <x:c r="F128" s="142"/>
      <x:c r="G128" s="208"/>
      <x:c r="H128" s="142"/>
      <x:c r="I128" s="142"/>
      <x:c r="J128" s="142"/>
      <x:c r="K128" s="142"/>
      <x:c r="L128" s="142"/>
      <x:c r="M128" s="142"/>
      <x:c r="N128" s="214" t="str">
        <x:f>IF(A128="","",SUMIF('PARTICIPAÇÕES OBRA'!$A$5:$A$254,A128,'PARTICIPAÇÕES OBRA'!$F$5:$F$254))</x:f>
      </x:c>
      <x:c r="O128" s="202" t="str">
        <x:f>IF(A128="","",IF(N128=1,"OK 100%","CONFERIR"))</x:f>
      </x:c>
      <x:c r="P128" s="142"/>
    </x:row>
    <x:row r="129" ht="19" customHeight="1">
      <x:c r="A129" s="142"/>
      <x:c r="B129" s="142"/>
      <x:c r="C129" s="142"/>
      <x:c r="D129" s="142"/>
      <x:c r="E129" s="142"/>
      <x:c r="F129" s="142"/>
      <x:c r="G129" s="208"/>
      <x:c r="H129" s="142"/>
      <x:c r="I129" s="142"/>
      <x:c r="J129" s="142"/>
      <x:c r="K129" s="142"/>
      <x:c r="L129" s="142"/>
      <x:c r="M129" s="142"/>
      <x:c r="N129" s="214" t="str">
        <x:f>IF(A129="","",SUMIF('PARTICIPAÇÕES OBRA'!$A$5:$A$254,A129,'PARTICIPAÇÕES OBRA'!$F$5:$F$254))</x:f>
      </x:c>
      <x:c r="O129" s="202" t="str">
        <x:f>IF(A129="","",IF(N129=1,"OK 100%","CONFERIR"))</x:f>
      </x:c>
      <x:c r="P129" s="142"/>
    </x:row>
    <x:row r="130" ht="19" customHeight="1">
      <x:c r="A130" s="142"/>
      <x:c r="B130" s="142"/>
      <x:c r="C130" s="142"/>
      <x:c r="D130" s="142"/>
      <x:c r="E130" s="142"/>
      <x:c r="F130" s="142"/>
      <x:c r="G130" s="208"/>
      <x:c r="H130" s="142"/>
      <x:c r="I130" s="142"/>
      <x:c r="J130" s="142"/>
      <x:c r="K130" s="142"/>
      <x:c r="L130" s="142"/>
      <x:c r="M130" s="142"/>
      <x:c r="N130" s="214" t="str">
        <x:f>IF(A130="","",SUMIF('PARTICIPAÇÕES OBRA'!$A$5:$A$254,A130,'PARTICIPAÇÕES OBRA'!$F$5:$F$254))</x:f>
      </x:c>
      <x:c r="O130" s="202" t="str">
        <x:f>IF(A130="","",IF(N130=1,"OK 100%","CONFERIR"))</x:f>
      </x:c>
      <x:c r="P130" s="142"/>
    </x:row>
    <x:row r="131" ht="19" customHeight="1">
      <x:c r="A131" s="142"/>
      <x:c r="B131" s="142"/>
      <x:c r="C131" s="142"/>
      <x:c r="D131" s="142"/>
      <x:c r="E131" s="142"/>
      <x:c r="F131" s="142"/>
      <x:c r="G131" s="208"/>
      <x:c r="H131" s="142"/>
      <x:c r="I131" s="142"/>
      <x:c r="J131" s="142"/>
      <x:c r="K131" s="142"/>
      <x:c r="L131" s="142"/>
      <x:c r="M131" s="142"/>
      <x:c r="N131" s="214" t="str">
        <x:f>IF(A131="","",SUMIF('PARTICIPAÇÕES OBRA'!$A$5:$A$254,A131,'PARTICIPAÇÕES OBRA'!$F$5:$F$254))</x:f>
      </x:c>
      <x:c r="O131" s="202" t="str">
        <x:f>IF(A131="","",IF(N131=1,"OK 100%","CONFERIR"))</x:f>
      </x:c>
      <x:c r="P131" s="142"/>
    </x:row>
    <x:row r="132" ht="19" customHeight="1">
      <x:c r="A132" s="142"/>
      <x:c r="B132" s="142"/>
      <x:c r="C132" s="142"/>
      <x:c r="D132" s="142"/>
      <x:c r="E132" s="142"/>
      <x:c r="F132" s="142"/>
      <x:c r="G132" s="208"/>
      <x:c r="H132" s="142"/>
      <x:c r="I132" s="142"/>
      <x:c r="J132" s="142"/>
      <x:c r="K132" s="142"/>
      <x:c r="L132" s="142"/>
      <x:c r="M132" s="142"/>
      <x:c r="N132" s="214" t="str">
        <x:f>IF(A132="","",SUMIF('PARTICIPAÇÕES OBRA'!$A$5:$A$254,A132,'PARTICIPAÇÕES OBRA'!$F$5:$F$254))</x:f>
      </x:c>
      <x:c r="O132" s="202" t="str">
        <x:f>IF(A132="","",IF(N132=1,"OK 100%","CONFERIR"))</x:f>
      </x:c>
      <x:c r="P132" s="142"/>
    </x:row>
    <x:row r="133" ht="19" customHeight="1">
      <x:c r="A133" s="142"/>
      <x:c r="B133" s="142"/>
      <x:c r="C133" s="142"/>
      <x:c r="D133" s="142"/>
      <x:c r="E133" s="142"/>
      <x:c r="F133" s="142"/>
      <x:c r="G133" s="208"/>
      <x:c r="H133" s="142"/>
      <x:c r="I133" s="142"/>
      <x:c r="J133" s="142"/>
      <x:c r="K133" s="142"/>
      <x:c r="L133" s="142"/>
      <x:c r="M133" s="142"/>
      <x:c r="N133" s="214" t="str">
        <x:f>IF(A133="","",SUMIF('PARTICIPAÇÕES OBRA'!$A$5:$A$254,A133,'PARTICIPAÇÕES OBRA'!$F$5:$F$254))</x:f>
      </x:c>
      <x:c r="O133" s="202" t="str">
        <x:f>IF(A133="","",IF(N133=1,"OK 100%","CONFERIR"))</x:f>
      </x:c>
      <x:c r="P133" s="142"/>
    </x:row>
    <x:row r="134" ht="19" customHeight="1">
      <x:c r="A134" s="142"/>
      <x:c r="B134" s="142"/>
      <x:c r="C134" s="142"/>
      <x:c r="D134" s="142"/>
      <x:c r="E134" s="142"/>
      <x:c r="F134" s="142"/>
      <x:c r="G134" s="208"/>
      <x:c r="H134" s="142"/>
      <x:c r="I134" s="142"/>
      <x:c r="J134" s="142"/>
      <x:c r="K134" s="142"/>
      <x:c r="L134" s="142"/>
      <x:c r="M134" s="142"/>
      <x:c r="N134" s="214" t="str">
        <x:f>IF(A134="","",SUMIF('PARTICIPAÇÕES OBRA'!$A$5:$A$254,A134,'PARTICIPAÇÕES OBRA'!$F$5:$F$254))</x:f>
      </x:c>
      <x:c r="O134" s="202" t="str">
        <x:f>IF(A134="","",IF(N134=1,"OK 100%","CONFERIR"))</x:f>
      </x:c>
      <x:c r="P134" s="142"/>
    </x:row>
    <x:row r="135" ht="19" customHeight="1">
      <x:c r="A135" s="142"/>
      <x:c r="B135" s="142"/>
      <x:c r="C135" s="142"/>
      <x:c r="D135" s="142"/>
      <x:c r="E135" s="142"/>
      <x:c r="F135" s="142"/>
      <x:c r="G135" s="208"/>
      <x:c r="H135" s="142"/>
      <x:c r="I135" s="142"/>
      <x:c r="J135" s="142"/>
      <x:c r="K135" s="142"/>
      <x:c r="L135" s="142"/>
      <x:c r="M135" s="142"/>
      <x:c r="N135" s="214" t="str">
        <x:f>IF(A135="","",SUMIF('PARTICIPAÇÕES OBRA'!$A$5:$A$254,A135,'PARTICIPAÇÕES OBRA'!$F$5:$F$254))</x:f>
      </x:c>
      <x:c r="O135" s="202" t="str">
        <x:f>IF(A135="","",IF(N135=1,"OK 100%","CONFERIR"))</x:f>
      </x:c>
      <x:c r="P135" s="142"/>
    </x:row>
    <x:row r="136" ht="19" customHeight="1">
      <x:c r="A136" s="142"/>
      <x:c r="B136" s="142"/>
      <x:c r="C136" s="142"/>
      <x:c r="D136" s="142"/>
      <x:c r="E136" s="142"/>
      <x:c r="F136" s="142"/>
      <x:c r="G136" s="208"/>
      <x:c r="H136" s="142"/>
      <x:c r="I136" s="142"/>
      <x:c r="J136" s="142"/>
      <x:c r="K136" s="142"/>
      <x:c r="L136" s="142"/>
      <x:c r="M136" s="142"/>
      <x:c r="N136" s="214" t="str">
        <x:f>IF(A136="","",SUMIF('PARTICIPAÇÕES OBRA'!$A$5:$A$254,A136,'PARTICIPAÇÕES OBRA'!$F$5:$F$254))</x:f>
      </x:c>
      <x:c r="O136" s="202" t="str">
        <x:f>IF(A136="","",IF(N136=1,"OK 100%","CONFERIR"))</x:f>
      </x:c>
      <x:c r="P136" s="142"/>
    </x:row>
    <x:row r="137" ht="19" customHeight="1">
      <x:c r="A137" s="142"/>
      <x:c r="B137" s="142"/>
      <x:c r="C137" s="142"/>
      <x:c r="D137" s="142"/>
      <x:c r="E137" s="142"/>
      <x:c r="F137" s="142"/>
      <x:c r="G137" s="208"/>
      <x:c r="H137" s="142"/>
      <x:c r="I137" s="142"/>
      <x:c r="J137" s="142"/>
      <x:c r="K137" s="142"/>
      <x:c r="L137" s="142"/>
      <x:c r="M137" s="142"/>
      <x:c r="N137" s="214" t="str">
        <x:f>IF(A137="","",SUMIF('PARTICIPAÇÕES OBRA'!$A$5:$A$254,A137,'PARTICIPAÇÕES OBRA'!$F$5:$F$254))</x:f>
      </x:c>
      <x:c r="O137" s="202" t="str">
        <x:f>IF(A137="","",IF(N137=1,"OK 100%","CONFERIR"))</x:f>
      </x:c>
      <x:c r="P137" s="142"/>
    </x:row>
    <x:row r="138" ht="19" customHeight="1">
      <x:c r="A138" s="142"/>
      <x:c r="B138" s="142"/>
      <x:c r="C138" s="142"/>
      <x:c r="D138" s="142"/>
      <x:c r="E138" s="142"/>
      <x:c r="F138" s="142"/>
      <x:c r="G138" s="208"/>
      <x:c r="H138" s="142"/>
      <x:c r="I138" s="142"/>
      <x:c r="J138" s="142"/>
      <x:c r="K138" s="142"/>
      <x:c r="L138" s="142"/>
      <x:c r="M138" s="142"/>
      <x:c r="N138" s="214" t="str">
        <x:f>IF(A138="","",SUMIF('PARTICIPAÇÕES OBRA'!$A$5:$A$254,A138,'PARTICIPAÇÕES OBRA'!$F$5:$F$254))</x:f>
      </x:c>
      <x:c r="O138" s="202" t="str">
        <x:f>IF(A138="","",IF(N138=1,"OK 100%","CONFERIR"))</x:f>
      </x:c>
      <x:c r="P138" s="142"/>
    </x:row>
    <x:row r="139" ht="19" customHeight="1">
      <x:c r="A139" s="142"/>
      <x:c r="B139" s="142"/>
      <x:c r="C139" s="142"/>
      <x:c r="D139" s="142"/>
      <x:c r="E139" s="142"/>
      <x:c r="F139" s="142"/>
      <x:c r="G139" s="208"/>
      <x:c r="H139" s="142"/>
      <x:c r="I139" s="142"/>
      <x:c r="J139" s="142"/>
      <x:c r="K139" s="142"/>
      <x:c r="L139" s="142"/>
      <x:c r="M139" s="142"/>
      <x:c r="N139" s="214" t="str">
        <x:f>IF(A139="","",SUMIF('PARTICIPAÇÕES OBRA'!$A$5:$A$254,A139,'PARTICIPAÇÕES OBRA'!$F$5:$F$254))</x:f>
      </x:c>
      <x:c r="O139" s="202" t="str">
        <x:f>IF(A139="","",IF(N139=1,"OK 100%","CONFERIR"))</x:f>
      </x:c>
      <x:c r="P139" s="142"/>
    </x:row>
    <x:row r="140" ht="19" customHeight="1">
      <x:c r="A140" s="142"/>
      <x:c r="B140" s="142"/>
      <x:c r="C140" s="142"/>
      <x:c r="D140" s="142"/>
      <x:c r="E140" s="142"/>
      <x:c r="F140" s="142"/>
      <x:c r="G140" s="208"/>
      <x:c r="H140" s="142"/>
      <x:c r="I140" s="142"/>
      <x:c r="J140" s="142"/>
      <x:c r="K140" s="142"/>
      <x:c r="L140" s="142"/>
      <x:c r="M140" s="142"/>
      <x:c r="N140" s="214" t="str">
        <x:f>IF(A140="","",SUMIF('PARTICIPAÇÕES OBRA'!$A$5:$A$254,A140,'PARTICIPAÇÕES OBRA'!$F$5:$F$254))</x:f>
      </x:c>
      <x:c r="O140" s="202" t="str">
        <x:f>IF(A140="","",IF(N140=1,"OK 100%","CONFERIR"))</x:f>
      </x:c>
      <x:c r="P140" s="142"/>
    </x:row>
    <x:row r="141" ht="19" customHeight="1">
      <x:c r="A141" s="142"/>
      <x:c r="B141" s="142"/>
      <x:c r="C141" s="142"/>
      <x:c r="D141" s="142"/>
      <x:c r="E141" s="142"/>
      <x:c r="F141" s="142"/>
      <x:c r="G141" s="208"/>
      <x:c r="H141" s="142"/>
      <x:c r="I141" s="142"/>
      <x:c r="J141" s="142"/>
      <x:c r="K141" s="142"/>
      <x:c r="L141" s="142"/>
      <x:c r="M141" s="142"/>
      <x:c r="N141" s="214" t="str">
        <x:f>IF(A141="","",SUMIF('PARTICIPAÇÕES OBRA'!$A$5:$A$254,A141,'PARTICIPAÇÕES OBRA'!$F$5:$F$254))</x:f>
      </x:c>
      <x:c r="O141" s="202" t="str">
        <x:f>IF(A141="","",IF(N141=1,"OK 100%","CONFERIR"))</x:f>
      </x:c>
      <x:c r="P141" s="142"/>
    </x:row>
    <x:row r="142" ht="19" customHeight="1">
      <x:c r="A142" s="142"/>
      <x:c r="B142" s="142"/>
      <x:c r="C142" s="142"/>
      <x:c r="D142" s="142"/>
      <x:c r="E142" s="142"/>
      <x:c r="F142" s="142"/>
      <x:c r="G142" s="208"/>
      <x:c r="H142" s="142"/>
      <x:c r="I142" s="142"/>
      <x:c r="J142" s="142"/>
      <x:c r="K142" s="142"/>
      <x:c r="L142" s="142"/>
      <x:c r="M142" s="142"/>
      <x:c r="N142" s="214" t="str">
        <x:f>IF(A142="","",SUMIF('PARTICIPAÇÕES OBRA'!$A$5:$A$254,A142,'PARTICIPAÇÕES OBRA'!$F$5:$F$254))</x:f>
      </x:c>
      <x:c r="O142" s="202" t="str">
        <x:f>IF(A142="","",IF(N142=1,"OK 100%","CONFERIR"))</x:f>
      </x:c>
      <x:c r="P142" s="142"/>
    </x:row>
    <x:row r="143" ht="19" customHeight="1">
      <x:c r="A143" s="142"/>
      <x:c r="B143" s="142"/>
      <x:c r="C143" s="142"/>
      <x:c r="D143" s="142"/>
      <x:c r="E143" s="142"/>
      <x:c r="F143" s="142"/>
      <x:c r="G143" s="208"/>
      <x:c r="H143" s="142"/>
      <x:c r="I143" s="142"/>
      <x:c r="J143" s="142"/>
      <x:c r="K143" s="142"/>
      <x:c r="L143" s="142"/>
      <x:c r="M143" s="142"/>
      <x:c r="N143" s="214" t="str">
        <x:f>IF(A143="","",SUMIF('PARTICIPAÇÕES OBRA'!$A$5:$A$254,A143,'PARTICIPAÇÕES OBRA'!$F$5:$F$254))</x:f>
      </x:c>
      <x:c r="O143" s="202" t="str">
        <x:f>IF(A143="","",IF(N143=1,"OK 100%","CONFERIR"))</x:f>
      </x:c>
      <x:c r="P143" s="142"/>
    </x:row>
    <x:row r="144" ht="19" customHeight="1">
      <x:c r="A144" s="142"/>
      <x:c r="B144" s="142"/>
      <x:c r="C144" s="142"/>
      <x:c r="D144" s="142"/>
      <x:c r="E144" s="142"/>
      <x:c r="F144" s="142"/>
      <x:c r="G144" s="208"/>
      <x:c r="H144" s="142"/>
      <x:c r="I144" s="142"/>
      <x:c r="J144" s="142"/>
      <x:c r="K144" s="142"/>
      <x:c r="L144" s="142"/>
      <x:c r="M144" s="142"/>
      <x:c r="N144" s="214" t="str">
        <x:f>IF(A144="","",SUMIF('PARTICIPAÇÕES OBRA'!$A$5:$A$254,A144,'PARTICIPAÇÕES OBRA'!$F$5:$F$254))</x:f>
      </x:c>
      <x:c r="O144" s="202" t="str">
        <x:f>IF(A144="","",IF(N144=1,"OK 100%","CONFERIR"))</x:f>
      </x:c>
      <x:c r="P144" s="142"/>
    </x:row>
    <x:row r="145" ht="19" customHeight="1">
      <x:c r="A145" s="142"/>
      <x:c r="B145" s="142"/>
      <x:c r="C145" s="142"/>
      <x:c r="D145" s="142"/>
      <x:c r="E145" s="142"/>
      <x:c r="F145" s="142"/>
      <x:c r="G145" s="208"/>
      <x:c r="H145" s="142"/>
      <x:c r="I145" s="142"/>
      <x:c r="J145" s="142"/>
      <x:c r="K145" s="142"/>
      <x:c r="L145" s="142"/>
      <x:c r="M145" s="142"/>
      <x:c r="N145" s="214" t="str">
        <x:f>IF(A145="","",SUMIF('PARTICIPAÇÕES OBRA'!$A$5:$A$254,A145,'PARTICIPAÇÕES OBRA'!$F$5:$F$254))</x:f>
      </x:c>
      <x:c r="O145" s="202" t="str">
        <x:f>IF(A145="","",IF(N145=1,"OK 100%","CONFERIR"))</x:f>
      </x:c>
      <x:c r="P145" s="142"/>
    </x:row>
    <x:row r="146" ht="19" customHeight="1">
      <x:c r="A146" s="142"/>
      <x:c r="B146" s="142"/>
      <x:c r="C146" s="142"/>
      <x:c r="D146" s="142"/>
      <x:c r="E146" s="142"/>
      <x:c r="F146" s="142"/>
      <x:c r="G146" s="208"/>
      <x:c r="H146" s="142"/>
      <x:c r="I146" s="142"/>
      <x:c r="J146" s="142"/>
      <x:c r="K146" s="142"/>
      <x:c r="L146" s="142"/>
      <x:c r="M146" s="142"/>
      <x:c r="N146" s="214" t="str">
        <x:f>IF(A146="","",SUMIF('PARTICIPAÇÕES OBRA'!$A$5:$A$254,A146,'PARTICIPAÇÕES OBRA'!$F$5:$F$254))</x:f>
      </x:c>
      <x:c r="O146" s="202" t="str">
        <x:f>IF(A146="","",IF(N146=1,"OK 100%","CONFERIR"))</x:f>
      </x:c>
      <x:c r="P146" s="142"/>
    </x:row>
    <x:row r="147" ht="19" customHeight="1">
      <x:c r="A147" s="142"/>
      <x:c r="B147" s="142"/>
      <x:c r="C147" s="142"/>
      <x:c r="D147" s="142"/>
      <x:c r="E147" s="142"/>
      <x:c r="F147" s="142"/>
      <x:c r="G147" s="208"/>
      <x:c r="H147" s="142"/>
      <x:c r="I147" s="142"/>
      <x:c r="J147" s="142"/>
      <x:c r="K147" s="142"/>
      <x:c r="L147" s="142"/>
      <x:c r="M147" s="142"/>
      <x:c r="N147" s="214" t="str">
        <x:f>IF(A147="","",SUMIF('PARTICIPAÇÕES OBRA'!$A$5:$A$254,A147,'PARTICIPAÇÕES OBRA'!$F$5:$F$254))</x:f>
      </x:c>
      <x:c r="O147" s="202" t="str">
        <x:f>IF(A147="","",IF(N147=1,"OK 100%","CONFERIR"))</x:f>
      </x:c>
      <x:c r="P147" s="142"/>
    </x:row>
    <x:row r="148" ht="19" customHeight="1">
      <x:c r="A148" s="142"/>
      <x:c r="B148" s="142"/>
      <x:c r="C148" s="142"/>
      <x:c r="D148" s="142"/>
      <x:c r="E148" s="142"/>
      <x:c r="F148" s="142"/>
      <x:c r="G148" s="208"/>
      <x:c r="H148" s="142"/>
      <x:c r="I148" s="142"/>
      <x:c r="J148" s="142"/>
      <x:c r="K148" s="142"/>
      <x:c r="L148" s="142"/>
      <x:c r="M148" s="142"/>
      <x:c r="N148" s="214" t="str">
        <x:f>IF(A148="","",SUMIF('PARTICIPAÇÕES OBRA'!$A$5:$A$254,A148,'PARTICIPAÇÕES OBRA'!$F$5:$F$254))</x:f>
      </x:c>
      <x:c r="O148" s="202" t="str">
        <x:f>IF(A148="","",IF(N148=1,"OK 100%","CONFERIR"))</x:f>
      </x:c>
      <x:c r="P148" s="142"/>
    </x:row>
    <x:row r="149" ht="19" customHeight="1">
      <x:c r="A149" s="142"/>
      <x:c r="B149" s="142"/>
      <x:c r="C149" s="142"/>
      <x:c r="D149" s="142"/>
      <x:c r="E149" s="142"/>
      <x:c r="F149" s="142"/>
      <x:c r="G149" s="208"/>
      <x:c r="H149" s="142"/>
      <x:c r="I149" s="142"/>
      <x:c r="J149" s="142"/>
      <x:c r="K149" s="142"/>
      <x:c r="L149" s="142"/>
      <x:c r="M149" s="142"/>
      <x:c r="N149" s="214" t="str">
        <x:f>IF(A149="","",SUMIF('PARTICIPAÇÕES OBRA'!$A$5:$A$254,A149,'PARTICIPAÇÕES OBRA'!$F$5:$F$254))</x:f>
      </x:c>
      <x:c r="O149" s="202" t="str">
        <x:f>IF(A149="","",IF(N149=1,"OK 100%","CONFERIR"))</x:f>
      </x:c>
      <x:c r="P149" s="142"/>
    </x:row>
    <x:row r="150" ht="19" customHeight="1">
      <x:c r="A150" s="142"/>
      <x:c r="B150" s="142"/>
      <x:c r="C150" s="142"/>
      <x:c r="D150" s="142"/>
      <x:c r="E150" s="142"/>
      <x:c r="F150" s="142"/>
      <x:c r="G150" s="208"/>
      <x:c r="H150" s="142"/>
      <x:c r="I150" s="142"/>
      <x:c r="J150" s="142"/>
      <x:c r="K150" s="142"/>
      <x:c r="L150" s="142"/>
      <x:c r="M150" s="142"/>
      <x:c r="N150" s="214" t="str">
        <x:f>IF(A150="","",SUMIF('PARTICIPAÇÕES OBRA'!$A$5:$A$254,A150,'PARTICIPAÇÕES OBRA'!$F$5:$F$254))</x:f>
      </x:c>
      <x:c r="O150" s="202" t="str">
        <x:f>IF(A150="","",IF(N150=1,"OK 100%","CONFERIR"))</x:f>
      </x:c>
      <x:c r="P150" s="142"/>
    </x:row>
    <x:row r="151" ht="19" customHeight="1">
      <x:c r="A151" s="142"/>
      <x:c r="B151" s="142"/>
      <x:c r="C151" s="142"/>
      <x:c r="D151" s="142"/>
      <x:c r="E151" s="142"/>
      <x:c r="F151" s="142"/>
      <x:c r="G151" s="208"/>
      <x:c r="H151" s="142"/>
      <x:c r="I151" s="142"/>
      <x:c r="J151" s="142"/>
      <x:c r="K151" s="142"/>
      <x:c r="L151" s="142"/>
      <x:c r="M151" s="142"/>
      <x:c r="N151" s="214" t="str">
        <x:f>IF(A151="","",SUMIF('PARTICIPAÇÕES OBRA'!$A$5:$A$254,A151,'PARTICIPAÇÕES OBRA'!$F$5:$F$254))</x:f>
      </x:c>
      <x:c r="O151" s="202" t="str">
        <x:f>IF(A151="","",IF(N151=1,"OK 100%","CONFERIR"))</x:f>
      </x:c>
      <x:c r="P151" s="142"/>
    </x:row>
    <x:row r="152" ht="19" customHeight="1">
      <x:c r="A152" s="142"/>
      <x:c r="B152" s="142"/>
      <x:c r="C152" s="142"/>
      <x:c r="D152" s="142"/>
      <x:c r="E152" s="142"/>
      <x:c r="F152" s="142"/>
      <x:c r="G152" s="208"/>
      <x:c r="H152" s="142"/>
      <x:c r="I152" s="142"/>
      <x:c r="J152" s="142"/>
      <x:c r="K152" s="142"/>
      <x:c r="L152" s="142"/>
      <x:c r="M152" s="142"/>
      <x:c r="N152" s="214" t="str">
        <x:f>IF(A152="","",SUMIF('PARTICIPAÇÕES OBRA'!$A$5:$A$254,A152,'PARTICIPAÇÕES OBRA'!$F$5:$F$254))</x:f>
      </x:c>
      <x:c r="O152" s="202" t="str">
        <x:f>IF(A152="","",IF(N152=1,"OK 100%","CONFERIR"))</x:f>
      </x:c>
      <x:c r="P152" s="142"/>
    </x:row>
    <x:row r="153" ht="19" customHeight="1">
      <x:c r="A153" s="142"/>
      <x:c r="B153" s="142"/>
      <x:c r="C153" s="142"/>
      <x:c r="D153" s="142"/>
      <x:c r="E153" s="142"/>
      <x:c r="F153" s="142"/>
      <x:c r="G153" s="208"/>
      <x:c r="H153" s="142"/>
      <x:c r="I153" s="142"/>
      <x:c r="J153" s="142"/>
      <x:c r="K153" s="142"/>
      <x:c r="L153" s="142"/>
      <x:c r="M153" s="142"/>
      <x:c r="N153" s="214" t="str">
        <x:f>IF(A153="","",SUMIF('PARTICIPAÇÕES OBRA'!$A$5:$A$254,A153,'PARTICIPAÇÕES OBRA'!$F$5:$F$254))</x:f>
      </x:c>
      <x:c r="O153" s="202" t="str">
        <x:f>IF(A153="","",IF(N153=1,"OK 100%","CONFERIR"))</x:f>
      </x:c>
      <x:c r="P153" s="142"/>
    </x:row>
    <x:row r="154" ht="19" customHeight="1">
      <x:c r="A154" s="142"/>
      <x:c r="B154" s="142"/>
      <x:c r="C154" s="142"/>
      <x:c r="D154" s="142"/>
      <x:c r="E154" s="142"/>
      <x:c r="F154" s="142"/>
      <x:c r="G154" s="208"/>
      <x:c r="H154" s="142"/>
      <x:c r="I154" s="142"/>
      <x:c r="J154" s="142"/>
      <x:c r="K154" s="142"/>
      <x:c r="L154" s="142"/>
      <x:c r="M154" s="142"/>
      <x:c r="N154" s="214" t="str">
        <x:f>IF(A154="","",SUMIF('PARTICIPAÇÕES OBRA'!$A$5:$A$254,A154,'PARTICIPAÇÕES OBRA'!$F$5:$F$254))</x:f>
      </x:c>
      <x:c r="O154" s="202" t="str">
        <x:f>IF(A154="","",IF(N154=1,"OK 100%","CONFERIR"))</x:f>
      </x:c>
      <x:c r="P154" s="142"/>
    </x:row>
    <x:row r="155" ht="19" customHeight="1">
      <x:c r="A155" s="142"/>
      <x:c r="B155" s="142"/>
      <x:c r="C155" s="142"/>
      <x:c r="D155" s="142"/>
      <x:c r="E155" s="142"/>
      <x:c r="F155" s="142"/>
      <x:c r="G155" s="208"/>
      <x:c r="H155" s="142"/>
      <x:c r="I155" s="142"/>
      <x:c r="J155" s="142"/>
      <x:c r="K155" s="142"/>
      <x:c r="L155" s="142"/>
      <x:c r="M155" s="142"/>
      <x:c r="N155" s="214" t="str">
        <x:f>IF(A155="","",SUMIF('PARTICIPAÇÕES OBRA'!$A$5:$A$254,A155,'PARTICIPAÇÕES OBRA'!$F$5:$F$254))</x:f>
      </x:c>
      <x:c r="O155" s="202" t="str">
        <x:f>IF(A155="","",IF(N155=1,"OK 100%","CONFERIR"))</x:f>
      </x:c>
      <x:c r="P155" s="142"/>
    </x:row>
    <x:row r="156" ht="19" customHeight="1">
      <x:c r="A156" s="142"/>
      <x:c r="B156" s="142"/>
      <x:c r="C156" s="142"/>
      <x:c r="D156" s="142"/>
      <x:c r="E156" s="142"/>
      <x:c r="F156" s="142"/>
      <x:c r="G156" s="208"/>
      <x:c r="H156" s="142"/>
      <x:c r="I156" s="142"/>
      <x:c r="J156" s="142"/>
      <x:c r="K156" s="142"/>
      <x:c r="L156" s="142"/>
      <x:c r="M156" s="142"/>
      <x:c r="N156" s="214" t="str">
        <x:f>IF(A156="","",SUMIF('PARTICIPAÇÕES OBRA'!$A$5:$A$254,A156,'PARTICIPAÇÕES OBRA'!$F$5:$F$254))</x:f>
      </x:c>
      <x:c r="O156" s="202" t="str">
        <x:f>IF(A156="","",IF(N156=1,"OK 100%","CONFERIR"))</x:f>
      </x:c>
      <x:c r="P156" s="142"/>
    </x:row>
    <x:row r="157" ht="19" customHeight="1">
      <x:c r="A157" s="142"/>
      <x:c r="B157" s="142"/>
      <x:c r="C157" s="142"/>
      <x:c r="D157" s="142"/>
      <x:c r="E157" s="142"/>
      <x:c r="F157" s="142"/>
      <x:c r="G157" s="208"/>
      <x:c r="H157" s="142"/>
      <x:c r="I157" s="142"/>
      <x:c r="J157" s="142"/>
      <x:c r="K157" s="142"/>
      <x:c r="L157" s="142"/>
      <x:c r="M157" s="142"/>
      <x:c r="N157" s="214" t="str">
        <x:f>IF(A157="","",SUMIF('PARTICIPAÇÕES OBRA'!$A$5:$A$254,A157,'PARTICIPAÇÕES OBRA'!$F$5:$F$254))</x:f>
      </x:c>
      <x:c r="O157" s="202" t="str">
        <x:f>IF(A157="","",IF(N157=1,"OK 100%","CONFERIR"))</x:f>
      </x:c>
      <x:c r="P157" s="142"/>
    </x:row>
    <x:row r="158" ht="19" customHeight="1">
      <x:c r="A158" s="142"/>
      <x:c r="B158" s="142"/>
      <x:c r="C158" s="142"/>
      <x:c r="D158" s="142"/>
      <x:c r="E158" s="142"/>
      <x:c r="F158" s="142"/>
      <x:c r="G158" s="208"/>
      <x:c r="H158" s="142"/>
      <x:c r="I158" s="142"/>
      <x:c r="J158" s="142"/>
      <x:c r="K158" s="142"/>
      <x:c r="L158" s="142"/>
      <x:c r="M158" s="142"/>
      <x:c r="N158" s="214" t="str">
        <x:f>IF(A158="","",SUMIF('PARTICIPAÇÕES OBRA'!$A$5:$A$254,A158,'PARTICIPAÇÕES OBRA'!$F$5:$F$254))</x:f>
      </x:c>
      <x:c r="O158" s="202" t="str">
        <x:f>IF(A158="","",IF(N158=1,"OK 100%","CONFERIR"))</x:f>
      </x:c>
      <x:c r="P158" s="142"/>
    </x:row>
    <x:row r="159" ht="19" customHeight="1">
      <x:c r="A159" s="142"/>
      <x:c r="B159" s="142"/>
      <x:c r="C159" s="142"/>
      <x:c r="D159" s="142"/>
      <x:c r="E159" s="142"/>
      <x:c r="F159" s="142"/>
      <x:c r="G159" s="208"/>
      <x:c r="H159" s="142"/>
      <x:c r="I159" s="142"/>
      <x:c r="J159" s="142"/>
      <x:c r="K159" s="142"/>
      <x:c r="L159" s="142"/>
      <x:c r="M159" s="142"/>
      <x:c r="N159" s="214" t="str">
        <x:f>IF(A159="","",SUMIF('PARTICIPAÇÕES OBRA'!$A$5:$A$254,A159,'PARTICIPAÇÕES OBRA'!$F$5:$F$254))</x:f>
      </x:c>
      <x:c r="O159" s="202" t="str">
        <x:f>IF(A159="","",IF(N159=1,"OK 100%","CONFERIR"))</x:f>
      </x:c>
      <x:c r="P159" s="142"/>
    </x:row>
    <x:row r="160" ht="19" customHeight="1">
      <x:c r="A160" s="142"/>
      <x:c r="B160" s="142"/>
      <x:c r="C160" s="142"/>
      <x:c r="D160" s="142"/>
      <x:c r="E160" s="142"/>
      <x:c r="F160" s="142"/>
      <x:c r="G160" s="208"/>
      <x:c r="H160" s="142"/>
      <x:c r="I160" s="142"/>
      <x:c r="J160" s="142"/>
      <x:c r="K160" s="142"/>
      <x:c r="L160" s="142"/>
      <x:c r="M160" s="142"/>
      <x:c r="N160" s="214" t="str">
        <x:f>IF(A160="","",SUMIF('PARTICIPAÇÕES OBRA'!$A$5:$A$254,A160,'PARTICIPAÇÕES OBRA'!$F$5:$F$254))</x:f>
      </x:c>
      <x:c r="O160" s="202" t="str">
        <x:f>IF(A160="","",IF(N160=1,"OK 100%","CONFERIR"))</x:f>
      </x:c>
      <x:c r="P160" s="142"/>
    </x:row>
    <x:row r="161" ht="19" customHeight="1">
      <x:c r="A161" s="142"/>
      <x:c r="B161" s="142"/>
      <x:c r="C161" s="142"/>
      <x:c r="D161" s="142"/>
      <x:c r="E161" s="142"/>
      <x:c r="F161" s="142"/>
      <x:c r="G161" s="208"/>
      <x:c r="H161" s="142"/>
      <x:c r="I161" s="142"/>
      <x:c r="J161" s="142"/>
      <x:c r="K161" s="142"/>
      <x:c r="L161" s="142"/>
      <x:c r="M161" s="142"/>
      <x:c r="N161" s="214" t="str">
        <x:f>IF(A161="","",SUMIF('PARTICIPAÇÕES OBRA'!$A$5:$A$254,A161,'PARTICIPAÇÕES OBRA'!$F$5:$F$254))</x:f>
      </x:c>
      <x:c r="O161" s="202" t="str">
        <x:f>IF(A161="","",IF(N161=1,"OK 100%","CONFERIR"))</x:f>
      </x:c>
      <x:c r="P161" s="142"/>
    </x:row>
    <x:row r="162" ht="19" customHeight="1">
      <x:c r="A162" s="142"/>
      <x:c r="B162" s="142"/>
      <x:c r="C162" s="142"/>
      <x:c r="D162" s="142"/>
      <x:c r="E162" s="142"/>
      <x:c r="F162" s="142"/>
      <x:c r="G162" s="208"/>
      <x:c r="H162" s="142"/>
      <x:c r="I162" s="142"/>
      <x:c r="J162" s="142"/>
      <x:c r="K162" s="142"/>
      <x:c r="L162" s="142"/>
      <x:c r="M162" s="142"/>
      <x:c r="N162" s="214" t="str">
        <x:f>IF(A162="","",SUMIF('PARTICIPAÇÕES OBRA'!$A$5:$A$254,A162,'PARTICIPAÇÕES OBRA'!$F$5:$F$254))</x:f>
      </x:c>
      <x:c r="O162" s="202" t="str">
        <x:f>IF(A162="","",IF(N162=1,"OK 100%","CONFERIR"))</x:f>
      </x:c>
      <x:c r="P162" s="142"/>
    </x:row>
    <x:row r="163" ht="19" customHeight="1">
      <x:c r="A163" s="142"/>
      <x:c r="B163" s="142"/>
      <x:c r="C163" s="142"/>
      <x:c r="D163" s="142"/>
      <x:c r="E163" s="142"/>
      <x:c r="F163" s="142"/>
      <x:c r="G163" s="208"/>
      <x:c r="H163" s="142"/>
      <x:c r="I163" s="142"/>
      <x:c r="J163" s="142"/>
      <x:c r="K163" s="142"/>
      <x:c r="L163" s="142"/>
      <x:c r="M163" s="142"/>
      <x:c r="N163" s="214" t="str">
        <x:f>IF(A163="","",SUMIF('PARTICIPAÇÕES OBRA'!$A$5:$A$254,A163,'PARTICIPAÇÕES OBRA'!$F$5:$F$254))</x:f>
      </x:c>
      <x:c r="O163" s="202" t="str">
        <x:f>IF(A163="","",IF(N163=1,"OK 100%","CONFERIR"))</x:f>
      </x:c>
      <x:c r="P163" s="142"/>
    </x:row>
    <x:row r="164" ht="19" customHeight="1">
      <x:c r="A164" s="142"/>
      <x:c r="B164" s="142"/>
      <x:c r="C164" s="142"/>
      <x:c r="D164" s="142"/>
      <x:c r="E164" s="142"/>
      <x:c r="F164" s="142"/>
      <x:c r="G164" s="208"/>
      <x:c r="H164" s="142"/>
      <x:c r="I164" s="142"/>
      <x:c r="J164" s="142"/>
      <x:c r="K164" s="142"/>
      <x:c r="L164" s="142"/>
      <x:c r="M164" s="142"/>
      <x:c r="N164" s="214" t="str">
        <x:f>IF(A164="","",SUMIF('PARTICIPAÇÕES OBRA'!$A$5:$A$254,A164,'PARTICIPAÇÕES OBRA'!$F$5:$F$254))</x:f>
      </x:c>
      <x:c r="O164" s="202" t="str">
        <x:f>IF(A164="","",IF(N164=1,"OK 100%","CONFERIR"))</x:f>
      </x:c>
      <x:c r="P164" s="142"/>
    </x:row>
    <x:row r="165" ht="19" customHeight="1">
      <x:c r="A165" s="142"/>
      <x:c r="B165" s="142"/>
      <x:c r="C165" s="142"/>
      <x:c r="D165" s="142"/>
      <x:c r="E165" s="142"/>
      <x:c r="F165" s="142"/>
      <x:c r="G165" s="208"/>
      <x:c r="H165" s="142"/>
      <x:c r="I165" s="142"/>
      <x:c r="J165" s="142"/>
      <x:c r="K165" s="142"/>
      <x:c r="L165" s="142"/>
      <x:c r="M165" s="142"/>
      <x:c r="N165" s="214" t="str">
        <x:f>IF(A165="","",SUMIF('PARTICIPAÇÕES OBRA'!$A$5:$A$254,A165,'PARTICIPAÇÕES OBRA'!$F$5:$F$254))</x:f>
      </x:c>
      <x:c r="O165" s="202" t="str">
        <x:f>IF(A165="","",IF(N165=1,"OK 100%","CONFERIR"))</x:f>
      </x:c>
      <x:c r="P165" s="142"/>
    </x:row>
    <x:row r="166" ht="19" customHeight="1">
      <x:c r="A166" s="142"/>
      <x:c r="B166" s="142"/>
      <x:c r="C166" s="142"/>
      <x:c r="D166" s="142"/>
      <x:c r="E166" s="142"/>
      <x:c r="F166" s="142"/>
      <x:c r="G166" s="208"/>
      <x:c r="H166" s="142"/>
      <x:c r="I166" s="142"/>
      <x:c r="J166" s="142"/>
      <x:c r="K166" s="142"/>
      <x:c r="L166" s="142"/>
      <x:c r="M166" s="142"/>
      <x:c r="N166" s="214" t="str">
        <x:f>IF(A166="","",SUMIF('PARTICIPAÇÕES OBRA'!$A$5:$A$254,A166,'PARTICIPAÇÕES OBRA'!$F$5:$F$254))</x:f>
      </x:c>
      <x:c r="O166" s="202" t="str">
        <x:f>IF(A166="","",IF(N166=1,"OK 100%","CONFERIR"))</x:f>
      </x:c>
      <x:c r="P166" s="142"/>
    </x:row>
    <x:row r="167" ht="19" customHeight="1">
      <x:c r="A167" s="142"/>
      <x:c r="B167" s="142"/>
      <x:c r="C167" s="142"/>
      <x:c r="D167" s="142"/>
      <x:c r="E167" s="142"/>
      <x:c r="F167" s="142"/>
      <x:c r="G167" s="208"/>
      <x:c r="H167" s="142"/>
      <x:c r="I167" s="142"/>
      <x:c r="J167" s="142"/>
      <x:c r="K167" s="142"/>
      <x:c r="L167" s="142"/>
      <x:c r="M167" s="142"/>
      <x:c r="N167" s="214" t="str">
        <x:f>IF(A167="","",SUMIF('PARTICIPAÇÕES OBRA'!$A$5:$A$254,A167,'PARTICIPAÇÕES OBRA'!$F$5:$F$254))</x:f>
      </x:c>
      <x:c r="O167" s="202" t="str">
        <x:f>IF(A167="","",IF(N167=1,"OK 100%","CONFERIR"))</x:f>
      </x:c>
      <x:c r="P167" s="142"/>
    </x:row>
    <x:row r="168" ht="19" customHeight="1">
      <x:c r="A168" s="142"/>
      <x:c r="B168" s="142"/>
      <x:c r="C168" s="142"/>
      <x:c r="D168" s="142"/>
      <x:c r="E168" s="142"/>
      <x:c r="F168" s="142"/>
      <x:c r="G168" s="208"/>
      <x:c r="H168" s="142"/>
      <x:c r="I168" s="142"/>
      <x:c r="J168" s="142"/>
      <x:c r="K168" s="142"/>
      <x:c r="L168" s="142"/>
      <x:c r="M168" s="142"/>
      <x:c r="N168" s="214" t="str">
        <x:f>IF(A168="","",SUMIF('PARTICIPAÇÕES OBRA'!$A$5:$A$254,A168,'PARTICIPAÇÕES OBRA'!$F$5:$F$254))</x:f>
      </x:c>
      <x:c r="O168" s="202" t="str">
        <x:f>IF(A168="","",IF(N168=1,"OK 100%","CONFERIR"))</x:f>
      </x:c>
      <x:c r="P168" s="142"/>
    </x:row>
    <x:row r="169" ht="19" customHeight="1">
      <x:c r="A169" s="142"/>
      <x:c r="B169" s="142"/>
      <x:c r="C169" s="142"/>
      <x:c r="D169" s="142"/>
      <x:c r="E169" s="142"/>
      <x:c r="F169" s="142"/>
      <x:c r="G169" s="208"/>
      <x:c r="H169" s="142"/>
      <x:c r="I169" s="142"/>
      <x:c r="J169" s="142"/>
      <x:c r="K169" s="142"/>
      <x:c r="L169" s="142"/>
      <x:c r="M169" s="142"/>
      <x:c r="N169" s="214" t="str">
        <x:f>IF(A169="","",SUMIF('PARTICIPAÇÕES OBRA'!$A$5:$A$254,A169,'PARTICIPAÇÕES OBRA'!$F$5:$F$254))</x:f>
      </x:c>
      <x:c r="O169" s="202" t="str">
        <x:f>IF(A169="","",IF(N169=1,"OK 100%","CONFERIR"))</x:f>
      </x:c>
      <x:c r="P169" s="142"/>
    </x:row>
    <x:row r="170" ht="19" customHeight="1">
      <x:c r="A170" s="142"/>
      <x:c r="B170" s="142"/>
      <x:c r="C170" s="142"/>
      <x:c r="D170" s="142"/>
      <x:c r="E170" s="142"/>
      <x:c r="F170" s="142"/>
      <x:c r="G170" s="208"/>
      <x:c r="H170" s="142"/>
      <x:c r="I170" s="142"/>
      <x:c r="J170" s="142"/>
      <x:c r="K170" s="142"/>
      <x:c r="L170" s="142"/>
      <x:c r="M170" s="142"/>
      <x:c r="N170" s="214" t="str">
        <x:f>IF(A170="","",SUMIF('PARTICIPAÇÕES OBRA'!$A$5:$A$254,A170,'PARTICIPAÇÕES OBRA'!$F$5:$F$254))</x:f>
      </x:c>
      <x:c r="O170" s="202" t="str">
        <x:f>IF(A170="","",IF(N170=1,"OK 100%","CONFERIR"))</x:f>
      </x:c>
      <x:c r="P170" s="142"/>
    </x:row>
    <x:row r="171" ht="19" customHeight="1">
      <x:c r="A171" s="142"/>
      <x:c r="B171" s="142"/>
      <x:c r="C171" s="142"/>
      <x:c r="D171" s="142"/>
      <x:c r="E171" s="142"/>
      <x:c r="F171" s="142"/>
      <x:c r="G171" s="208"/>
      <x:c r="H171" s="142"/>
      <x:c r="I171" s="142"/>
      <x:c r="J171" s="142"/>
      <x:c r="K171" s="142"/>
      <x:c r="L171" s="142"/>
      <x:c r="M171" s="142"/>
      <x:c r="N171" s="214" t="str">
        <x:f>IF(A171="","",SUMIF('PARTICIPAÇÕES OBRA'!$A$5:$A$254,A171,'PARTICIPAÇÕES OBRA'!$F$5:$F$254))</x:f>
      </x:c>
      <x:c r="O171" s="202" t="str">
        <x:f>IF(A171="","",IF(N171=1,"OK 100%","CONFERIR"))</x:f>
      </x:c>
      <x:c r="P171" s="142"/>
    </x:row>
    <x:row r="172" ht="19" customHeight="1">
      <x:c r="A172" s="142"/>
      <x:c r="B172" s="142"/>
      <x:c r="C172" s="142"/>
      <x:c r="D172" s="142"/>
      <x:c r="E172" s="142"/>
      <x:c r="F172" s="142"/>
      <x:c r="G172" s="208"/>
      <x:c r="H172" s="142"/>
      <x:c r="I172" s="142"/>
      <x:c r="J172" s="142"/>
      <x:c r="K172" s="142"/>
      <x:c r="L172" s="142"/>
      <x:c r="M172" s="142"/>
      <x:c r="N172" s="214" t="str">
        <x:f>IF(A172="","",SUMIF('PARTICIPAÇÕES OBRA'!$A$5:$A$254,A172,'PARTICIPAÇÕES OBRA'!$F$5:$F$254))</x:f>
      </x:c>
      <x:c r="O172" s="202" t="str">
        <x:f>IF(A172="","",IF(N172=1,"OK 100%","CONFERIR"))</x:f>
      </x:c>
      <x:c r="P172" s="142"/>
    </x:row>
    <x:row r="173" ht="19" customHeight="1">
      <x:c r="A173" s="142"/>
      <x:c r="B173" s="142"/>
      <x:c r="C173" s="142"/>
      <x:c r="D173" s="142"/>
      <x:c r="E173" s="142"/>
      <x:c r="F173" s="142"/>
      <x:c r="G173" s="208"/>
      <x:c r="H173" s="142"/>
      <x:c r="I173" s="142"/>
      <x:c r="J173" s="142"/>
      <x:c r="K173" s="142"/>
      <x:c r="L173" s="142"/>
      <x:c r="M173" s="142"/>
      <x:c r="N173" s="214" t="str">
        <x:f>IF(A173="","",SUMIF('PARTICIPAÇÕES OBRA'!$A$5:$A$254,A173,'PARTICIPAÇÕES OBRA'!$F$5:$F$254))</x:f>
      </x:c>
      <x:c r="O173" s="202" t="str">
        <x:f>IF(A173="","",IF(N173=1,"OK 100%","CONFERIR"))</x:f>
      </x:c>
      <x:c r="P173" s="142"/>
    </x:row>
    <x:row r="174" ht="19" customHeight="1">
      <x:c r="A174" s="142"/>
      <x:c r="B174" s="142"/>
      <x:c r="C174" s="142"/>
      <x:c r="D174" s="142"/>
      <x:c r="E174" s="142"/>
      <x:c r="F174" s="142"/>
      <x:c r="G174" s="208"/>
      <x:c r="H174" s="142"/>
      <x:c r="I174" s="142"/>
      <x:c r="J174" s="142"/>
      <x:c r="K174" s="142"/>
      <x:c r="L174" s="142"/>
      <x:c r="M174" s="142"/>
      <x:c r="N174" s="214" t="str">
        <x:f>IF(A174="","",SUMIF('PARTICIPAÇÕES OBRA'!$A$5:$A$254,A174,'PARTICIPAÇÕES OBRA'!$F$5:$F$254))</x:f>
      </x:c>
      <x:c r="O174" s="202" t="str">
        <x:f>IF(A174="","",IF(N174=1,"OK 100%","CONFERIR"))</x:f>
      </x:c>
      <x:c r="P174" s="142"/>
    </x:row>
    <x:row r="175" ht="19" customHeight="1">
      <x:c r="A175" s="142"/>
      <x:c r="B175" s="142"/>
      <x:c r="C175" s="142"/>
      <x:c r="D175" s="142"/>
      <x:c r="E175" s="142"/>
      <x:c r="F175" s="142"/>
      <x:c r="G175" s="208"/>
      <x:c r="H175" s="142"/>
      <x:c r="I175" s="142"/>
      <x:c r="J175" s="142"/>
      <x:c r="K175" s="142"/>
      <x:c r="L175" s="142"/>
      <x:c r="M175" s="142"/>
      <x:c r="N175" s="214" t="str">
        <x:f>IF(A175="","",SUMIF('PARTICIPAÇÕES OBRA'!$A$5:$A$254,A175,'PARTICIPAÇÕES OBRA'!$F$5:$F$254))</x:f>
      </x:c>
      <x:c r="O175" s="202" t="str">
        <x:f>IF(A175="","",IF(N175=1,"OK 100%","CONFERIR"))</x:f>
      </x:c>
      <x:c r="P175" s="142"/>
    </x:row>
    <x:row r="176" ht="19" customHeight="1">
      <x:c r="A176" s="142"/>
      <x:c r="B176" s="142"/>
      <x:c r="C176" s="142"/>
      <x:c r="D176" s="142"/>
      <x:c r="E176" s="142"/>
      <x:c r="F176" s="142"/>
      <x:c r="G176" s="208"/>
      <x:c r="H176" s="142"/>
      <x:c r="I176" s="142"/>
      <x:c r="J176" s="142"/>
      <x:c r="K176" s="142"/>
      <x:c r="L176" s="142"/>
      <x:c r="M176" s="142"/>
      <x:c r="N176" s="214" t="str">
        <x:f>IF(A176="","",SUMIF('PARTICIPAÇÕES OBRA'!$A$5:$A$254,A176,'PARTICIPAÇÕES OBRA'!$F$5:$F$254))</x:f>
      </x:c>
      <x:c r="O176" s="202" t="str">
        <x:f>IF(A176="","",IF(N176=1,"OK 100%","CONFERIR"))</x:f>
      </x:c>
      <x:c r="P176" s="142"/>
    </x:row>
    <x:row r="177" ht="19" customHeight="1">
      <x:c r="A177" s="142"/>
      <x:c r="B177" s="142"/>
      <x:c r="C177" s="142"/>
      <x:c r="D177" s="142"/>
      <x:c r="E177" s="142"/>
      <x:c r="F177" s="142"/>
      <x:c r="G177" s="208"/>
      <x:c r="H177" s="142"/>
      <x:c r="I177" s="142"/>
      <x:c r="J177" s="142"/>
      <x:c r="K177" s="142"/>
      <x:c r="L177" s="142"/>
      <x:c r="M177" s="142"/>
      <x:c r="N177" s="214" t="str">
        <x:f>IF(A177="","",SUMIF('PARTICIPAÇÕES OBRA'!$A$5:$A$254,A177,'PARTICIPAÇÕES OBRA'!$F$5:$F$254))</x:f>
      </x:c>
      <x:c r="O177" s="202" t="str">
        <x:f>IF(A177="","",IF(N177=1,"OK 100%","CONFERIR"))</x:f>
      </x:c>
      <x:c r="P177" s="142"/>
    </x:row>
    <x:row r="178" ht="19" customHeight="1">
      <x:c r="A178" s="142"/>
      <x:c r="B178" s="142"/>
      <x:c r="C178" s="142"/>
      <x:c r="D178" s="142"/>
      <x:c r="E178" s="142"/>
      <x:c r="F178" s="142"/>
      <x:c r="G178" s="208"/>
      <x:c r="H178" s="142"/>
      <x:c r="I178" s="142"/>
      <x:c r="J178" s="142"/>
      <x:c r="K178" s="142"/>
      <x:c r="L178" s="142"/>
      <x:c r="M178" s="142"/>
      <x:c r="N178" s="214" t="str">
        <x:f>IF(A178="","",SUMIF('PARTICIPAÇÕES OBRA'!$A$5:$A$254,A178,'PARTICIPAÇÕES OBRA'!$F$5:$F$254))</x:f>
      </x:c>
      <x:c r="O178" s="202" t="str">
        <x:f>IF(A178="","",IF(N178=1,"OK 100%","CONFERIR"))</x:f>
      </x:c>
      <x:c r="P178" s="142"/>
    </x:row>
    <x:row r="179" ht="19" customHeight="1">
      <x:c r="A179" s="142"/>
      <x:c r="B179" s="142"/>
      <x:c r="C179" s="142"/>
      <x:c r="D179" s="142"/>
      <x:c r="E179" s="142"/>
      <x:c r="F179" s="142"/>
      <x:c r="G179" s="208"/>
      <x:c r="H179" s="142"/>
      <x:c r="I179" s="142"/>
      <x:c r="J179" s="142"/>
      <x:c r="K179" s="142"/>
      <x:c r="L179" s="142"/>
      <x:c r="M179" s="142"/>
      <x:c r="N179" s="214" t="str">
        <x:f>IF(A179="","",SUMIF('PARTICIPAÇÕES OBRA'!$A$5:$A$254,A179,'PARTICIPAÇÕES OBRA'!$F$5:$F$254))</x:f>
      </x:c>
      <x:c r="O179" s="202" t="str">
        <x:f>IF(A179="","",IF(N179=1,"OK 100%","CONFERIR"))</x:f>
      </x:c>
      <x:c r="P179" s="142"/>
    </x:row>
    <x:row r="180" ht="19" customHeight="1">
      <x:c r="A180" s="142"/>
      <x:c r="B180" s="142"/>
      <x:c r="C180" s="142"/>
      <x:c r="D180" s="142"/>
      <x:c r="E180" s="142"/>
      <x:c r="F180" s="142"/>
      <x:c r="G180" s="208"/>
      <x:c r="H180" s="142"/>
      <x:c r="I180" s="142"/>
      <x:c r="J180" s="142"/>
      <x:c r="K180" s="142"/>
      <x:c r="L180" s="142"/>
      <x:c r="M180" s="142"/>
      <x:c r="N180" s="214" t="str">
        <x:f>IF(A180="","",SUMIF('PARTICIPAÇÕES OBRA'!$A$5:$A$254,A180,'PARTICIPAÇÕES OBRA'!$F$5:$F$254))</x:f>
      </x:c>
      <x:c r="O180" s="202" t="str">
        <x:f>IF(A180="","",IF(N180=1,"OK 100%","CONFERIR"))</x:f>
      </x:c>
      <x:c r="P180" s="142"/>
    </x:row>
    <x:row r="181" ht="19" customHeight="1">
      <x:c r="A181" s="142"/>
      <x:c r="B181" s="142"/>
      <x:c r="C181" s="142"/>
      <x:c r="D181" s="142"/>
      <x:c r="E181" s="142"/>
      <x:c r="F181" s="142"/>
      <x:c r="G181" s="208"/>
      <x:c r="H181" s="142"/>
      <x:c r="I181" s="142"/>
      <x:c r="J181" s="142"/>
      <x:c r="K181" s="142"/>
      <x:c r="L181" s="142"/>
      <x:c r="M181" s="142"/>
      <x:c r="N181" s="214" t="str">
        <x:f>IF(A181="","",SUMIF('PARTICIPAÇÕES OBRA'!$A$5:$A$254,A181,'PARTICIPAÇÕES OBRA'!$F$5:$F$254))</x:f>
      </x:c>
      <x:c r="O181" s="202" t="str">
        <x:f>IF(A181="","",IF(N181=1,"OK 100%","CONFERIR"))</x:f>
      </x:c>
      <x:c r="P181" s="142"/>
    </x:row>
    <x:row r="182" ht="19" customHeight="1">
      <x:c r="A182" s="142"/>
      <x:c r="B182" s="142"/>
      <x:c r="C182" s="142"/>
      <x:c r="D182" s="142"/>
      <x:c r="E182" s="142"/>
      <x:c r="F182" s="142"/>
      <x:c r="G182" s="208"/>
      <x:c r="H182" s="142"/>
      <x:c r="I182" s="142"/>
      <x:c r="J182" s="142"/>
      <x:c r="K182" s="142"/>
      <x:c r="L182" s="142"/>
      <x:c r="M182" s="142"/>
      <x:c r="N182" s="214" t="str">
        <x:f>IF(A182="","",SUMIF('PARTICIPAÇÕES OBRA'!$A$5:$A$254,A182,'PARTICIPAÇÕES OBRA'!$F$5:$F$254))</x:f>
      </x:c>
      <x:c r="O182" s="202" t="str">
        <x:f>IF(A182="","",IF(N182=1,"OK 100%","CONFERIR"))</x:f>
      </x:c>
      <x:c r="P182" s="142"/>
    </x:row>
    <x:row r="183" ht="19" customHeight="1">
      <x:c r="A183" s="142"/>
      <x:c r="B183" s="142"/>
      <x:c r="C183" s="142"/>
      <x:c r="D183" s="142"/>
      <x:c r="E183" s="142"/>
      <x:c r="F183" s="142"/>
      <x:c r="G183" s="208"/>
      <x:c r="H183" s="142"/>
      <x:c r="I183" s="142"/>
      <x:c r="J183" s="142"/>
      <x:c r="K183" s="142"/>
      <x:c r="L183" s="142"/>
      <x:c r="M183" s="142"/>
      <x:c r="N183" s="214" t="str">
        <x:f>IF(A183="","",SUMIF('PARTICIPAÇÕES OBRA'!$A$5:$A$254,A183,'PARTICIPAÇÕES OBRA'!$F$5:$F$254))</x:f>
      </x:c>
      <x:c r="O183" s="202" t="str">
        <x:f>IF(A183="","",IF(N183=1,"OK 100%","CONFERIR"))</x:f>
      </x:c>
      <x:c r="P183" s="142"/>
    </x:row>
    <x:row r="184" ht="19" customHeight="1">
      <x:c r="A184" s="142"/>
      <x:c r="B184" s="142"/>
      <x:c r="C184" s="142"/>
      <x:c r="D184" s="142"/>
      <x:c r="E184" s="142"/>
      <x:c r="F184" s="142"/>
      <x:c r="G184" s="208"/>
      <x:c r="H184" s="142"/>
      <x:c r="I184" s="142"/>
      <x:c r="J184" s="142"/>
      <x:c r="K184" s="142"/>
      <x:c r="L184" s="142"/>
      <x:c r="M184" s="142"/>
      <x:c r="N184" s="214" t="str">
        <x:f>IF(A184="","",SUMIF('PARTICIPAÇÕES OBRA'!$A$5:$A$254,A184,'PARTICIPAÇÕES OBRA'!$F$5:$F$254))</x:f>
      </x:c>
      <x:c r="O184" s="202" t="str">
        <x:f>IF(A184="","",IF(N184=1,"OK 100%","CONFERIR"))</x:f>
      </x:c>
      <x:c r="P184" s="142"/>
    </x:row>
    <x:row r="185" ht="19" customHeight="1">
      <x:c r="A185" s="142"/>
      <x:c r="B185" s="142"/>
      <x:c r="C185" s="142"/>
      <x:c r="D185" s="142"/>
      <x:c r="E185" s="142"/>
      <x:c r="F185" s="142"/>
      <x:c r="G185" s="208"/>
      <x:c r="H185" s="142"/>
      <x:c r="I185" s="142"/>
      <x:c r="J185" s="142"/>
      <x:c r="K185" s="142"/>
      <x:c r="L185" s="142"/>
      <x:c r="M185" s="142"/>
      <x:c r="N185" s="214" t="str">
        <x:f>IF(A185="","",SUMIF('PARTICIPAÇÕES OBRA'!$A$5:$A$254,A185,'PARTICIPAÇÕES OBRA'!$F$5:$F$254))</x:f>
      </x:c>
      <x:c r="O185" s="202" t="str">
        <x:f>IF(A185="","",IF(N185=1,"OK 100%","CONFERIR"))</x:f>
      </x:c>
      <x:c r="P185" s="142"/>
    </x:row>
    <x:row r="186" ht="19" customHeight="1">
      <x:c r="A186" s="142"/>
      <x:c r="B186" s="142"/>
      <x:c r="C186" s="142"/>
      <x:c r="D186" s="142"/>
      <x:c r="E186" s="142"/>
      <x:c r="F186" s="142"/>
      <x:c r="G186" s="208"/>
      <x:c r="H186" s="142"/>
      <x:c r="I186" s="142"/>
      <x:c r="J186" s="142"/>
      <x:c r="K186" s="142"/>
      <x:c r="L186" s="142"/>
      <x:c r="M186" s="142"/>
      <x:c r="N186" s="214" t="str">
        <x:f>IF(A186="","",SUMIF('PARTICIPAÇÕES OBRA'!$A$5:$A$254,A186,'PARTICIPAÇÕES OBRA'!$F$5:$F$254))</x:f>
      </x:c>
      <x:c r="O186" s="202" t="str">
        <x:f>IF(A186="","",IF(N186=1,"OK 100%","CONFERIR"))</x:f>
      </x:c>
      <x:c r="P186" s="142"/>
    </x:row>
    <x:row r="187" ht="19" customHeight="1">
      <x:c r="A187" s="142"/>
      <x:c r="B187" s="142"/>
      <x:c r="C187" s="142"/>
      <x:c r="D187" s="142"/>
      <x:c r="E187" s="142"/>
      <x:c r="F187" s="142"/>
      <x:c r="G187" s="208"/>
      <x:c r="H187" s="142"/>
      <x:c r="I187" s="142"/>
      <x:c r="J187" s="142"/>
      <x:c r="K187" s="142"/>
      <x:c r="L187" s="142"/>
      <x:c r="M187" s="142"/>
      <x:c r="N187" s="214" t="str">
        <x:f>IF(A187="","",SUMIF('PARTICIPAÇÕES OBRA'!$A$5:$A$254,A187,'PARTICIPAÇÕES OBRA'!$F$5:$F$254))</x:f>
      </x:c>
      <x:c r="O187" s="202" t="str">
        <x:f>IF(A187="","",IF(N187=1,"OK 100%","CONFERIR"))</x:f>
      </x:c>
      <x:c r="P187" s="142"/>
    </x:row>
    <x:row r="188" ht="19" customHeight="1">
      <x:c r="A188" s="142"/>
      <x:c r="B188" s="142"/>
      <x:c r="C188" s="142"/>
      <x:c r="D188" s="142"/>
      <x:c r="E188" s="142"/>
      <x:c r="F188" s="142"/>
      <x:c r="G188" s="208"/>
      <x:c r="H188" s="142"/>
      <x:c r="I188" s="142"/>
      <x:c r="J188" s="142"/>
      <x:c r="K188" s="142"/>
      <x:c r="L188" s="142"/>
      <x:c r="M188" s="142"/>
      <x:c r="N188" s="214" t="str">
        <x:f>IF(A188="","",SUMIF('PARTICIPAÇÕES OBRA'!$A$5:$A$254,A188,'PARTICIPAÇÕES OBRA'!$F$5:$F$254))</x:f>
      </x:c>
      <x:c r="O188" s="202" t="str">
        <x:f>IF(A188="","",IF(N188=1,"OK 100%","CONFERIR"))</x:f>
      </x:c>
      <x:c r="P188" s="142"/>
    </x:row>
    <x:row r="189" ht="19" customHeight="1">
      <x:c r="A189" s="142"/>
      <x:c r="B189" s="142"/>
      <x:c r="C189" s="142"/>
      <x:c r="D189" s="142"/>
      <x:c r="E189" s="142"/>
      <x:c r="F189" s="142"/>
      <x:c r="G189" s="208"/>
      <x:c r="H189" s="142"/>
      <x:c r="I189" s="142"/>
      <x:c r="J189" s="142"/>
      <x:c r="K189" s="142"/>
      <x:c r="L189" s="142"/>
      <x:c r="M189" s="142"/>
      <x:c r="N189" s="214" t="str">
        <x:f>IF(A189="","",SUMIF('PARTICIPAÇÕES OBRA'!$A$5:$A$254,A189,'PARTICIPAÇÕES OBRA'!$F$5:$F$254))</x:f>
      </x:c>
      <x:c r="O189" s="202" t="str">
        <x:f>IF(A189="","",IF(N189=1,"OK 100%","CONFERIR"))</x:f>
      </x:c>
      <x:c r="P189" s="142"/>
    </x:row>
    <x:row r="190" ht="19" customHeight="1">
      <x:c r="A190" s="142"/>
      <x:c r="B190" s="142"/>
      <x:c r="C190" s="142"/>
      <x:c r="D190" s="142"/>
      <x:c r="E190" s="142"/>
      <x:c r="F190" s="142"/>
      <x:c r="G190" s="208"/>
      <x:c r="H190" s="142"/>
      <x:c r="I190" s="142"/>
      <x:c r="J190" s="142"/>
      <x:c r="K190" s="142"/>
      <x:c r="L190" s="142"/>
      <x:c r="M190" s="142"/>
      <x:c r="N190" s="214" t="str">
        <x:f>IF(A190="","",SUMIF('PARTICIPAÇÕES OBRA'!$A$5:$A$254,A190,'PARTICIPAÇÕES OBRA'!$F$5:$F$254))</x:f>
      </x:c>
      <x:c r="O190" s="202" t="str">
        <x:f>IF(A190="","",IF(N190=1,"OK 100%","CONFERIR"))</x:f>
      </x:c>
      <x:c r="P190" s="142"/>
    </x:row>
    <x:row r="191" ht="19" customHeight="1">
      <x:c r="A191" s="142"/>
      <x:c r="B191" s="142"/>
      <x:c r="C191" s="142"/>
      <x:c r="D191" s="142"/>
      <x:c r="E191" s="142"/>
      <x:c r="F191" s="142"/>
      <x:c r="G191" s="208"/>
      <x:c r="H191" s="142"/>
      <x:c r="I191" s="142"/>
      <x:c r="J191" s="142"/>
      <x:c r="K191" s="142"/>
      <x:c r="L191" s="142"/>
      <x:c r="M191" s="142"/>
      <x:c r="N191" s="214" t="str">
        <x:f>IF(A191="","",SUMIF('PARTICIPAÇÕES OBRA'!$A$5:$A$254,A191,'PARTICIPAÇÕES OBRA'!$F$5:$F$254))</x:f>
      </x:c>
      <x:c r="O191" s="202" t="str">
        <x:f>IF(A191="","",IF(N191=1,"OK 100%","CONFERIR"))</x:f>
      </x:c>
      <x:c r="P191" s="142"/>
    </x:row>
    <x:row r="192" ht="19" customHeight="1">
      <x:c r="A192" s="142"/>
      <x:c r="B192" s="142"/>
      <x:c r="C192" s="142"/>
      <x:c r="D192" s="142"/>
      <x:c r="E192" s="142"/>
      <x:c r="F192" s="142"/>
      <x:c r="G192" s="208"/>
      <x:c r="H192" s="142"/>
      <x:c r="I192" s="142"/>
      <x:c r="J192" s="142"/>
      <x:c r="K192" s="142"/>
      <x:c r="L192" s="142"/>
      <x:c r="M192" s="142"/>
      <x:c r="N192" s="214" t="str">
        <x:f>IF(A192="","",SUMIF('PARTICIPAÇÕES OBRA'!$A$5:$A$254,A192,'PARTICIPAÇÕES OBRA'!$F$5:$F$254))</x:f>
      </x:c>
      <x:c r="O192" s="202" t="str">
        <x:f>IF(A192="","",IF(N192=1,"OK 100%","CONFERIR"))</x:f>
      </x:c>
      <x:c r="P192" s="142"/>
    </x:row>
    <x:row r="193" ht="19" customHeight="1">
      <x:c r="A193" s="142"/>
      <x:c r="B193" s="142"/>
      <x:c r="C193" s="142"/>
      <x:c r="D193" s="142"/>
      <x:c r="E193" s="142"/>
      <x:c r="F193" s="142"/>
      <x:c r="G193" s="208"/>
      <x:c r="H193" s="142"/>
      <x:c r="I193" s="142"/>
      <x:c r="J193" s="142"/>
      <x:c r="K193" s="142"/>
      <x:c r="L193" s="142"/>
      <x:c r="M193" s="142"/>
      <x:c r="N193" s="214" t="str">
        <x:f>IF(A193="","",SUMIF('PARTICIPAÇÕES OBRA'!$A$5:$A$254,A193,'PARTICIPAÇÕES OBRA'!$F$5:$F$254))</x:f>
      </x:c>
      <x:c r="O193" s="202" t="str">
        <x:f>IF(A193="","",IF(N193=1,"OK 100%","CONFERIR"))</x:f>
      </x:c>
      <x:c r="P193" s="142"/>
    </x:row>
    <x:row r="194" ht="19" customHeight="1">
      <x:c r="A194" s="142"/>
      <x:c r="B194" s="142"/>
      <x:c r="C194" s="142"/>
      <x:c r="D194" s="142"/>
      <x:c r="E194" s="142"/>
      <x:c r="F194" s="142"/>
      <x:c r="G194" s="208"/>
      <x:c r="H194" s="142"/>
      <x:c r="I194" s="142"/>
      <x:c r="J194" s="142"/>
      <x:c r="K194" s="142"/>
      <x:c r="L194" s="142"/>
      <x:c r="M194" s="142"/>
      <x:c r="N194" s="214" t="str">
        <x:f>IF(A194="","",SUMIF('PARTICIPAÇÕES OBRA'!$A$5:$A$254,A194,'PARTICIPAÇÕES OBRA'!$F$5:$F$254))</x:f>
      </x:c>
      <x:c r="O194" s="202" t="str">
        <x:f>IF(A194="","",IF(N194=1,"OK 100%","CONFERIR"))</x:f>
      </x:c>
      <x:c r="P194" s="142"/>
    </x:row>
    <x:row r="195" ht="19" customHeight="1">
      <x:c r="A195" s="142"/>
      <x:c r="B195" s="142"/>
      <x:c r="C195" s="142"/>
      <x:c r="D195" s="142"/>
      <x:c r="E195" s="142"/>
      <x:c r="F195" s="142"/>
      <x:c r="G195" s="208"/>
      <x:c r="H195" s="142"/>
      <x:c r="I195" s="142"/>
      <x:c r="J195" s="142"/>
      <x:c r="K195" s="142"/>
      <x:c r="L195" s="142"/>
      <x:c r="M195" s="142"/>
      <x:c r="N195" s="214" t="str">
        <x:f>IF(A195="","",SUMIF('PARTICIPAÇÕES OBRA'!$A$5:$A$254,A195,'PARTICIPAÇÕES OBRA'!$F$5:$F$254))</x:f>
      </x:c>
      <x:c r="O195" s="202" t="str">
        <x:f>IF(A195="","",IF(N195=1,"OK 100%","CONFERIR"))</x:f>
      </x:c>
      <x:c r="P195" s="142"/>
    </x:row>
    <x:row r="196" ht="19" customHeight="1">
      <x:c r="A196" s="142"/>
      <x:c r="B196" s="142"/>
      <x:c r="C196" s="142"/>
      <x:c r="D196" s="142"/>
      <x:c r="E196" s="142"/>
      <x:c r="F196" s="142"/>
      <x:c r="G196" s="208"/>
      <x:c r="H196" s="142"/>
      <x:c r="I196" s="142"/>
      <x:c r="J196" s="142"/>
      <x:c r="K196" s="142"/>
      <x:c r="L196" s="142"/>
      <x:c r="M196" s="142"/>
      <x:c r="N196" s="214" t="str">
        <x:f>IF(A196="","",SUMIF('PARTICIPAÇÕES OBRA'!$A$5:$A$254,A196,'PARTICIPAÇÕES OBRA'!$F$5:$F$254))</x:f>
      </x:c>
      <x:c r="O196" s="202" t="str">
        <x:f>IF(A196="","",IF(N196=1,"OK 100%","CONFERIR"))</x:f>
      </x:c>
      <x:c r="P196" s="142"/>
    </x:row>
    <x:row r="197" ht="19" customHeight="1">
      <x:c r="A197" s="142"/>
      <x:c r="B197" s="142"/>
      <x:c r="C197" s="142"/>
      <x:c r="D197" s="142"/>
      <x:c r="E197" s="142"/>
      <x:c r="F197" s="142"/>
      <x:c r="G197" s="208"/>
      <x:c r="H197" s="142"/>
      <x:c r="I197" s="142"/>
      <x:c r="J197" s="142"/>
      <x:c r="K197" s="142"/>
      <x:c r="L197" s="142"/>
      <x:c r="M197" s="142"/>
      <x:c r="N197" s="214" t="str">
        <x:f>IF(A197="","",SUMIF('PARTICIPAÇÕES OBRA'!$A$5:$A$254,A197,'PARTICIPAÇÕES OBRA'!$F$5:$F$254))</x:f>
      </x:c>
      <x:c r="O197" s="202" t="str">
        <x:f>IF(A197="","",IF(N197=1,"OK 100%","CONFERIR"))</x:f>
      </x:c>
      <x:c r="P197" s="142"/>
    </x:row>
    <x:row r="198" ht="19" customHeight="1">
      <x:c r="A198" s="142"/>
      <x:c r="B198" s="142"/>
      <x:c r="C198" s="142"/>
      <x:c r="D198" s="142"/>
      <x:c r="E198" s="142"/>
      <x:c r="F198" s="142"/>
      <x:c r="G198" s="208"/>
      <x:c r="H198" s="142"/>
      <x:c r="I198" s="142"/>
      <x:c r="J198" s="142"/>
      <x:c r="K198" s="142"/>
      <x:c r="L198" s="142"/>
      <x:c r="M198" s="142"/>
      <x:c r="N198" s="214" t="str">
        <x:f>IF(A198="","",SUMIF('PARTICIPAÇÕES OBRA'!$A$5:$A$254,A198,'PARTICIPAÇÕES OBRA'!$F$5:$F$254))</x:f>
      </x:c>
      <x:c r="O198" s="202" t="str">
        <x:f>IF(A198="","",IF(N198=1,"OK 100%","CONFERIR"))</x:f>
      </x:c>
      <x:c r="P198" s="142"/>
    </x:row>
    <x:row r="199" ht="19" customHeight="1">
      <x:c r="A199" s="142"/>
      <x:c r="B199" s="142"/>
      <x:c r="C199" s="142"/>
      <x:c r="D199" s="142"/>
      <x:c r="E199" s="142"/>
      <x:c r="F199" s="142"/>
      <x:c r="G199" s="208"/>
      <x:c r="H199" s="142"/>
      <x:c r="I199" s="142"/>
      <x:c r="J199" s="142"/>
      <x:c r="K199" s="142"/>
      <x:c r="L199" s="142"/>
      <x:c r="M199" s="142"/>
      <x:c r="N199" s="214" t="str">
        <x:f>IF(A199="","",SUMIF('PARTICIPAÇÕES OBRA'!$A$5:$A$254,A199,'PARTICIPAÇÕES OBRA'!$F$5:$F$254))</x:f>
      </x:c>
      <x:c r="O199" s="202" t="str">
        <x:f>IF(A199="","",IF(N199=1,"OK 100%","CONFERIR"))</x:f>
      </x:c>
      <x:c r="P199" s="142"/>
    </x:row>
    <x:row r="200" ht="19" customHeight="1">
      <x:c r="A200" s="142"/>
      <x:c r="B200" s="142"/>
      <x:c r="C200" s="142"/>
      <x:c r="D200" s="142"/>
      <x:c r="E200" s="142"/>
      <x:c r="F200" s="142"/>
      <x:c r="G200" s="208"/>
      <x:c r="H200" s="142"/>
      <x:c r="I200" s="142"/>
      <x:c r="J200" s="142"/>
      <x:c r="K200" s="142"/>
      <x:c r="L200" s="142"/>
      <x:c r="M200" s="142"/>
      <x:c r="N200" s="214" t="str">
        <x:f>IF(A200="","",SUMIF('PARTICIPAÇÕES OBRA'!$A$5:$A$254,A200,'PARTICIPAÇÕES OBRA'!$F$5:$F$254))</x:f>
      </x:c>
      <x:c r="O200" s="202" t="str">
        <x:f>IF(A200="","",IF(N200=1,"OK 100%","CONFERIR"))</x:f>
      </x:c>
      <x:c r="P200" s="142"/>
    </x:row>
    <x:row r="201" ht="19" customHeight="1">
      <x:c r="A201" s="142"/>
      <x:c r="B201" s="142"/>
      <x:c r="C201" s="142"/>
      <x:c r="D201" s="142"/>
      <x:c r="E201" s="142"/>
      <x:c r="F201" s="142"/>
      <x:c r="G201" s="208"/>
      <x:c r="H201" s="142"/>
      <x:c r="I201" s="142"/>
      <x:c r="J201" s="142"/>
      <x:c r="K201" s="142"/>
      <x:c r="L201" s="142"/>
      <x:c r="M201" s="142"/>
      <x:c r="N201" s="214" t="str">
        <x:f>IF(A201="","",SUMIF('PARTICIPAÇÕES OBRA'!$A$5:$A$254,A201,'PARTICIPAÇÕES OBRA'!$F$5:$F$254))</x:f>
      </x:c>
      <x:c r="O201" s="202" t="str">
        <x:f>IF(A201="","",IF(N201=1,"OK 100%","CONFERIR"))</x:f>
      </x:c>
      <x:c r="P201" s="142"/>
    </x:row>
    <x:row r="202" ht="19" customHeight="1">
      <x:c r="A202" s="142"/>
      <x:c r="B202" s="142"/>
      <x:c r="C202" s="142"/>
      <x:c r="D202" s="142"/>
      <x:c r="E202" s="142"/>
      <x:c r="F202" s="142"/>
      <x:c r="G202" s="208"/>
      <x:c r="H202" s="142"/>
      <x:c r="I202" s="142"/>
      <x:c r="J202" s="142"/>
      <x:c r="K202" s="142"/>
      <x:c r="L202" s="142"/>
      <x:c r="M202" s="142"/>
      <x:c r="N202" s="214" t="str">
        <x:f>IF(A202="","",SUMIF('PARTICIPAÇÕES OBRA'!$A$5:$A$254,A202,'PARTICIPAÇÕES OBRA'!$F$5:$F$254))</x:f>
      </x:c>
      <x:c r="O202" s="202" t="str">
        <x:f>IF(A202="","",IF(N202=1,"OK 100%","CONFERIR"))</x:f>
      </x:c>
      <x:c r="P202" s="142"/>
    </x:row>
    <x:row r="203" ht="19" customHeight="1">
      <x:c r="A203" s="142"/>
      <x:c r="B203" s="142"/>
      <x:c r="C203" s="142"/>
      <x:c r="D203" s="142"/>
      <x:c r="E203" s="142"/>
      <x:c r="F203" s="142"/>
      <x:c r="G203" s="208"/>
      <x:c r="H203" s="142"/>
      <x:c r="I203" s="142"/>
      <x:c r="J203" s="142"/>
      <x:c r="K203" s="142"/>
      <x:c r="L203" s="142"/>
      <x:c r="M203" s="142"/>
      <x:c r="N203" s="214" t="str">
        <x:f>IF(A203="","",SUMIF('PARTICIPAÇÕES OBRA'!$A$5:$A$254,A203,'PARTICIPAÇÕES OBRA'!$F$5:$F$254))</x:f>
      </x:c>
      <x:c r="O203" s="202" t="str">
        <x:f>IF(A203="","",IF(N203=1,"OK 100%","CONFERIR"))</x:f>
      </x:c>
      <x:c r="P203" s="142"/>
    </x:row>
    <x:row r="204" ht="19" customHeight="1">
      <x:c r="A204" s="142"/>
      <x:c r="B204" s="142"/>
      <x:c r="C204" s="142"/>
      <x:c r="D204" s="142"/>
      <x:c r="E204" s="142"/>
      <x:c r="F204" s="142"/>
      <x:c r="G204" s="208"/>
      <x:c r="H204" s="142"/>
      <x:c r="I204" s="142"/>
      <x:c r="J204" s="142"/>
      <x:c r="K204" s="142"/>
      <x:c r="L204" s="142"/>
      <x:c r="M204" s="142"/>
      <x:c r="N204" s="214" t="str">
        <x:f>IF(A204="","",SUMIF('PARTICIPAÇÕES OBRA'!$A$5:$A$254,A204,'PARTICIPAÇÕES OBRA'!$F$5:$F$254))</x:f>
      </x:c>
      <x:c r="O204" s="202" t="str">
        <x:f>IF(A204="","",IF(N204=1,"OK 100%","CONFERIR"))</x:f>
      </x:c>
      <x:c r="P204" s="142"/>
    </x:row>
    <x:row r="205" ht="19" customHeight="1">
      <x:c r="A205" s="142"/>
      <x:c r="B205" s="142"/>
      <x:c r="C205" s="142"/>
      <x:c r="D205" s="142"/>
      <x:c r="E205" s="142"/>
      <x:c r="F205" s="142"/>
      <x:c r="G205" s="208"/>
      <x:c r="H205" s="142"/>
      <x:c r="I205" s="142"/>
      <x:c r="J205" s="142"/>
      <x:c r="K205" s="142"/>
      <x:c r="L205" s="142"/>
      <x:c r="M205" s="142"/>
      <x:c r="N205" s="214" t="str">
        <x:f>IF(A205="","",SUMIF('PARTICIPAÇÕES OBRA'!$A$5:$A$254,A205,'PARTICIPAÇÕES OBRA'!$F$5:$F$254))</x:f>
      </x:c>
      <x:c r="O205" s="202" t="str">
        <x:f>IF(A205="","",IF(N205=1,"OK 100%","CONFERIR"))</x:f>
      </x:c>
      <x:c r="P205" s="142"/>
    </x:row>
    <x:row r="206" ht="19" customHeight="1">
      <x:c r="A206" s="142"/>
      <x:c r="B206" s="142"/>
      <x:c r="C206" s="142"/>
      <x:c r="D206" s="142"/>
      <x:c r="E206" s="142"/>
      <x:c r="F206" s="142"/>
      <x:c r="G206" s="208"/>
      <x:c r="H206" s="142"/>
      <x:c r="I206" s="142"/>
      <x:c r="J206" s="142"/>
      <x:c r="K206" s="142"/>
      <x:c r="L206" s="142"/>
      <x:c r="M206" s="142"/>
      <x:c r="N206" s="214" t="str">
        <x:f>IF(A206="","",SUMIF('PARTICIPAÇÕES OBRA'!$A$5:$A$254,A206,'PARTICIPAÇÕES OBRA'!$F$5:$F$254))</x:f>
      </x:c>
      <x:c r="O206" s="202" t="str">
        <x:f>IF(A206="","",IF(N206=1,"OK 100%","CONFERIR"))</x:f>
      </x:c>
      <x:c r="P206" s="142"/>
    </x:row>
    <x:row r="207" ht="19" customHeight="1">
      <x:c r="A207" s="142"/>
      <x:c r="B207" s="142"/>
      <x:c r="C207" s="142"/>
      <x:c r="D207" s="142"/>
      <x:c r="E207" s="142"/>
      <x:c r="F207" s="142"/>
      <x:c r="G207" s="208"/>
      <x:c r="H207" s="142"/>
      <x:c r="I207" s="142"/>
      <x:c r="J207" s="142"/>
      <x:c r="K207" s="142"/>
      <x:c r="L207" s="142"/>
      <x:c r="M207" s="142"/>
      <x:c r="N207" s="214" t="str">
        <x:f>IF(A207="","",SUMIF('PARTICIPAÇÕES OBRA'!$A$5:$A$254,A207,'PARTICIPAÇÕES OBRA'!$F$5:$F$254))</x:f>
      </x:c>
      <x:c r="O207" s="202" t="str">
        <x:f>IF(A207="","",IF(N207=1,"OK 100%","CONFERIR"))</x:f>
      </x:c>
      <x:c r="P207" s="142"/>
    </x:row>
    <x:row r="208" ht="19" customHeight="1">
      <x:c r="A208" s="142"/>
      <x:c r="B208" s="142"/>
      <x:c r="C208" s="142"/>
      <x:c r="D208" s="142"/>
      <x:c r="E208" s="142"/>
      <x:c r="F208" s="142"/>
      <x:c r="G208" s="208"/>
      <x:c r="H208" s="142"/>
      <x:c r="I208" s="142"/>
      <x:c r="J208" s="142"/>
      <x:c r="K208" s="142"/>
      <x:c r="L208" s="142"/>
      <x:c r="M208" s="142"/>
      <x:c r="N208" s="214" t="str">
        <x:f>IF(A208="","",SUMIF('PARTICIPAÇÕES OBRA'!$A$5:$A$254,A208,'PARTICIPAÇÕES OBRA'!$F$5:$F$254))</x:f>
      </x:c>
      <x:c r="O208" s="202" t="str">
        <x:f>IF(A208="","",IF(N208=1,"OK 100%","CONFERIR"))</x:f>
      </x:c>
      <x:c r="P208" s="142"/>
    </x:row>
    <x:row r="209" ht="19" customHeight="1">
      <x:c r="A209" s="142"/>
      <x:c r="B209" s="142"/>
      <x:c r="C209" s="142"/>
      <x:c r="D209" s="142"/>
      <x:c r="E209" s="142"/>
      <x:c r="F209" s="142"/>
      <x:c r="G209" s="208"/>
      <x:c r="H209" s="142"/>
      <x:c r="I209" s="142"/>
      <x:c r="J209" s="142"/>
      <x:c r="K209" s="142"/>
      <x:c r="L209" s="142"/>
      <x:c r="M209" s="142"/>
      <x:c r="N209" s="214" t="str">
        <x:f>IF(A209="","",SUMIF('PARTICIPAÇÕES OBRA'!$A$5:$A$254,A209,'PARTICIPAÇÕES OBRA'!$F$5:$F$254))</x:f>
      </x:c>
      <x:c r="O209" s="202" t="str">
        <x:f>IF(A209="","",IF(N209=1,"OK 100%","CONFERIR"))</x:f>
      </x:c>
      <x:c r="P209" s="142"/>
    </x:row>
    <x:row r="210" ht="19" customHeight="1">
      <x:c r="A210" s="142"/>
      <x:c r="B210" s="142"/>
      <x:c r="C210" s="142"/>
      <x:c r="D210" s="142"/>
      <x:c r="E210" s="142"/>
      <x:c r="F210" s="142"/>
      <x:c r="G210" s="208"/>
      <x:c r="H210" s="142"/>
      <x:c r="I210" s="142"/>
      <x:c r="J210" s="142"/>
      <x:c r="K210" s="142"/>
      <x:c r="L210" s="142"/>
      <x:c r="M210" s="142"/>
      <x:c r="N210" s="214" t="str">
        <x:f>IF(A210="","",SUMIF('PARTICIPAÇÕES OBRA'!$A$5:$A$254,A210,'PARTICIPAÇÕES OBRA'!$F$5:$F$254))</x:f>
      </x:c>
      <x:c r="O210" s="202" t="str">
        <x:f>IF(A210="","",IF(N210=1,"OK 100%","CONFERIR"))</x:f>
      </x:c>
      <x:c r="P210" s="142"/>
    </x:row>
    <x:row r="211" ht="19" customHeight="1">
      <x:c r="A211" s="142"/>
      <x:c r="B211" s="142"/>
      <x:c r="C211" s="142"/>
      <x:c r="D211" s="142"/>
      <x:c r="E211" s="142"/>
      <x:c r="F211" s="142"/>
      <x:c r="G211" s="208"/>
      <x:c r="H211" s="142"/>
      <x:c r="I211" s="142"/>
      <x:c r="J211" s="142"/>
      <x:c r="K211" s="142"/>
      <x:c r="L211" s="142"/>
      <x:c r="M211" s="142"/>
      <x:c r="N211" s="214" t="str">
        <x:f>IF(A211="","",SUMIF('PARTICIPAÇÕES OBRA'!$A$5:$A$254,A211,'PARTICIPAÇÕES OBRA'!$F$5:$F$254))</x:f>
      </x:c>
      <x:c r="O211" s="202" t="str">
        <x:f>IF(A211="","",IF(N211=1,"OK 100%","CONFERIR"))</x:f>
      </x:c>
      <x:c r="P211" s="142"/>
    </x:row>
    <x:row r="212" ht="19" customHeight="1">
      <x:c r="A212" s="142"/>
      <x:c r="B212" s="142"/>
      <x:c r="C212" s="142"/>
      <x:c r="D212" s="142"/>
      <x:c r="E212" s="142"/>
      <x:c r="F212" s="142"/>
      <x:c r="G212" s="208"/>
      <x:c r="H212" s="142"/>
      <x:c r="I212" s="142"/>
      <x:c r="J212" s="142"/>
      <x:c r="K212" s="142"/>
      <x:c r="L212" s="142"/>
      <x:c r="M212" s="142"/>
      <x:c r="N212" s="214" t="str">
        <x:f>IF(A212="","",SUMIF('PARTICIPAÇÕES OBRA'!$A$5:$A$254,A212,'PARTICIPAÇÕES OBRA'!$F$5:$F$254))</x:f>
      </x:c>
      <x:c r="O212" s="202" t="str">
        <x:f>IF(A212="","",IF(N212=1,"OK 100%","CONFERIR"))</x:f>
      </x:c>
      <x:c r="P212" s="142"/>
    </x:row>
    <x:row r="213" ht="19" customHeight="1">
      <x:c r="A213" s="142"/>
      <x:c r="B213" s="142"/>
      <x:c r="C213" s="142"/>
      <x:c r="D213" s="142"/>
      <x:c r="E213" s="142"/>
      <x:c r="F213" s="142"/>
      <x:c r="G213" s="208"/>
      <x:c r="H213" s="142"/>
      <x:c r="I213" s="142"/>
      <x:c r="J213" s="142"/>
      <x:c r="K213" s="142"/>
      <x:c r="L213" s="142"/>
      <x:c r="M213" s="142"/>
      <x:c r="N213" s="214" t="str">
        <x:f>IF(A213="","",SUMIF('PARTICIPAÇÕES OBRA'!$A$5:$A$254,A213,'PARTICIPAÇÕES OBRA'!$F$5:$F$254))</x:f>
      </x:c>
      <x:c r="O213" s="202" t="str">
        <x:f>IF(A213="","",IF(N213=1,"OK 100%","CONFERIR"))</x:f>
      </x:c>
      <x:c r="P213" s="142"/>
    </x:row>
    <x:row r="214" ht="19" customHeight="1">
      <x:c r="A214" s="142"/>
      <x:c r="B214" s="142"/>
      <x:c r="C214" s="142"/>
      <x:c r="D214" s="142"/>
      <x:c r="E214" s="142"/>
      <x:c r="F214" s="142"/>
      <x:c r="G214" s="208"/>
      <x:c r="H214" s="142"/>
      <x:c r="I214" s="142"/>
      <x:c r="J214" s="142"/>
      <x:c r="K214" s="142"/>
      <x:c r="L214" s="142"/>
      <x:c r="M214" s="142"/>
      <x:c r="N214" s="214" t="str">
        <x:f>IF(A214="","",SUMIF('PARTICIPAÇÕES OBRA'!$A$5:$A$254,A214,'PARTICIPAÇÕES OBRA'!$F$5:$F$254))</x:f>
      </x:c>
      <x:c r="O214" s="202" t="str">
        <x:f>IF(A214="","",IF(N214=1,"OK 100%","CONFERIR"))</x:f>
      </x:c>
      <x:c r="P214" s="142"/>
    </x:row>
    <x:row r="215" ht="19" customHeight="1">
      <x:c r="A215" s="142"/>
      <x:c r="B215" s="142"/>
      <x:c r="C215" s="142"/>
      <x:c r="D215" s="142"/>
      <x:c r="E215" s="142"/>
      <x:c r="F215" s="142"/>
      <x:c r="G215" s="208"/>
      <x:c r="H215" s="142"/>
      <x:c r="I215" s="142"/>
      <x:c r="J215" s="142"/>
      <x:c r="K215" s="142"/>
      <x:c r="L215" s="142"/>
      <x:c r="M215" s="142"/>
      <x:c r="N215" s="214" t="str">
        <x:f>IF(A215="","",SUMIF('PARTICIPAÇÕES OBRA'!$A$5:$A$254,A215,'PARTICIPAÇÕES OBRA'!$F$5:$F$254))</x:f>
      </x:c>
      <x:c r="O215" s="202" t="str">
        <x:f>IF(A215="","",IF(N215=1,"OK 100%","CONFERIR"))</x:f>
      </x:c>
      <x:c r="P215" s="142"/>
    </x:row>
    <x:row r="216" ht="19" customHeight="1">
      <x:c r="A216" s="142"/>
      <x:c r="B216" s="142"/>
      <x:c r="C216" s="142"/>
      <x:c r="D216" s="142"/>
      <x:c r="E216" s="142"/>
      <x:c r="F216" s="142"/>
      <x:c r="G216" s="208"/>
      <x:c r="H216" s="142"/>
      <x:c r="I216" s="142"/>
      <x:c r="J216" s="142"/>
      <x:c r="K216" s="142"/>
      <x:c r="L216" s="142"/>
      <x:c r="M216" s="142"/>
      <x:c r="N216" s="214" t="str">
        <x:f>IF(A216="","",SUMIF('PARTICIPAÇÕES OBRA'!$A$5:$A$254,A216,'PARTICIPAÇÕES OBRA'!$F$5:$F$254))</x:f>
      </x:c>
      <x:c r="O216" s="202" t="str">
        <x:f>IF(A216="","",IF(N216=1,"OK 100%","CONFERIR"))</x:f>
      </x:c>
      <x:c r="P216" s="142"/>
    </x:row>
    <x:row r="217" ht="19" customHeight="1">
      <x:c r="A217" s="142"/>
      <x:c r="B217" s="142"/>
      <x:c r="C217" s="142"/>
      <x:c r="D217" s="142"/>
      <x:c r="E217" s="142"/>
      <x:c r="F217" s="142"/>
      <x:c r="G217" s="208"/>
      <x:c r="H217" s="142"/>
      <x:c r="I217" s="142"/>
      <x:c r="J217" s="142"/>
      <x:c r="K217" s="142"/>
      <x:c r="L217" s="142"/>
      <x:c r="M217" s="142"/>
      <x:c r="N217" s="214" t="str">
        <x:f>IF(A217="","",SUMIF('PARTICIPAÇÕES OBRA'!$A$5:$A$254,A217,'PARTICIPAÇÕES OBRA'!$F$5:$F$254))</x:f>
      </x:c>
      <x:c r="O217" s="202" t="str">
        <x:f>IF(A217="","",IF(N217=1,"OK 100%","CONFERIR"))</x:f>
      </x:c>
      <x:c r="P217" s="142"/>
    </x:row>
    <x:row r="218" ht="19" customHeight="1">
      <x:c r="A218" s="142"/>
      <x:c r="B218" s="142"/>
      <x:c r="C218" s="142"/>
      <x:c r="D218" s="142"/>
      <x:c r="E218" s="142"/>
      <x:c r="F218" s="142"/>
      <x:c r="G218" s="208"/>
      <x:c r="H218" s="142"/>
      <x:c r="I218" s="142"/>
      <x:c r="J218" s="142"/>
      <x:c r="K218" s="142"/>
      <x:c r="L218" s="142"/>
      <x:c r="M218" s="142"/>
      <x:c r="N218" s="214" t="str">
        <x:f>IF(A218="","",SUMIF('PARTICIPAÇÕES OBRA'!$A$5:$A$254,A218,'PARTICIPAÇÕES OBRA'!$F$5:$F$254))</x:f>
      </x:c>
      <x:c r="O218" s="202" t="str">
        <x:f>IF(A218="","",IF(N218=1,"OK 100%","CONFERIR"))</x:f>
      </x:c>
      <x:c r="P218" s="142"/>
    </x:row>
    <x:row r="219" ht="19" customHeight="1">
      <x:c r="A219" s="142"/>
      <x:c r="B219" s="142"/>
      <x:c r="C219" s="142"/>
      <x:c r="D219" s="142"/>
      <x:c r="E219" s="142"/>
      <x:c r="F219" s="142"/>
      <x:c r="G219" s="208"/>
      <x:c r="H219" s="142"/>
      <x:c r="I219" s="142"/>
      <x:c r="J219" s="142"/>
      <x:c r="K219" s="142"/>
      <x:c r="L219" s="142"/>
      <x:c r="M219" s="142"/>
      <x:c r="N219" s="214" t="str">
        <x:f>IF(A219="","",SUMIF('PARTICIPAÇÕES OBRA'!$A$5:$A$254,A219,'PARTICIPAÇÕES OBRA'!$F$5:$F$254))</x:f>
      </x:c>
      <x:c r="O219" s="202" t="str">
        <x:f>IF(A219="","",IF(N219=1,"OK 100%","CONFERIR"))</x:f>
      </x:c>
      <x:c r="P219" s="142"/>
    </x:row>
    <x:row r="220" ht="19" customHeight="1">
      <x:c r="A220" s="142"/>
      <x:c r="B220" s="142"/>
      <x:c r="C220" s="142"/>
      <x:c r="D220" s="142"/>
      <x:c r="E220" s="142"/>
      <x:c r="F220" s="142"/>
      <x:c r="G220" s="208"/>
      <x:c r="H220" s="142"/>
      <x:c r="I220" s="142"/>
      <x:c r="J220" s="142"/>
      <x:c r="K220" s="142"/>
      <x:c r="L220" s="142"/>
      <x:c r="M220" s="142"/>
      <x:c r="N220" s="214" t="str">
        <x:f>IF(A220="","",SUMIF('PARTICIPAÇÕES OBRA'!$A$5:$A$254,A220,'PARTICIPAÇÕES OBRA'!$F$5:$F$254))</x:f>
      </x:c>
      <x:c r="O220" s="202" t="str">
        <x:f>IF(A220="","",IF(N220=1,"OK 100%","CONFERIR"))</x:f>
      </x:c>
      <x:c r="P220" s="142"/>
    </x:row>
    <x:row r="221" ht="19" customHeight="1">
      <x:c r="A221" s="142"/>
      <x:c r="B221" s="142"/>
      <x:c r="C221" s="142"/>
      <x:c r="D221" s="142"/>
      <x:c r="E221" s="142"/>
      <x:c r="F221" s="142"/>
      <x:c r="G221" s="208"/>
      <x:c r="H221" s="142"/>
      <x:c r="I221" s="142"/>
      <x:c r="J221" s="142"/>
      <x:c r="K221" s="142"/>
      <x:c r="L221" s="142"/>
      <x:c r="M221" s="142"/>
      <x:c r="N221" s="214" t="str">
        <x:f>IF(A221="","",SUMIF('PARTICIPAÇÕES OBRA'!$A$5:$A$254,A221,'PARTICIPAÇÕES OBRA'!$F$5:$F$254))</x:f>
      </x:c>
      <x:c r="O221" s="202" t="str">
        <x:f>IF(A221="","",IF(N221=1,"OK 100%","CONFERIR"))</x:f>
      </x:c>
      <x:c r="P221" s="142"/>
    </x:row>
    <x:row r="222" ht="19" customHeight="1">
      <x:c r="A222" s="142"/>
      <x:c r="B222" s="142"/>
      <x:c r="C222" s="142"/>
      <x:c r="D222" s="142"/>
      <x:c r="E222" s="142"/>
      <x:c r="F222" s="142"/>
      <x:c r="G222" s="208"/>
      <x:c r="H222" s="142"/>
      <x:c r="I222" s="142"/>
      <x:c r="J222" s="142"/>
      <x:c r="K222" s="142"/>
      <x:c r="L222" s="142"/>
      <x:c r="M222" s="142"/>
      <x:c r="N222" s="214" t="str">
        <x:f>IF(A222="","",SUMIF('PARTICIPAÇÕES OBRA'!$A$5:$A$254,A222,'PARTICIPAÇÕES OBRA'!$F$5:$F$254))</x:f>
      </x:c>
      <x:c r="O222" s="202" t="str">
        <x:f>IF(A222="","",IF(N222=1,"OK 100%","CONFERIR"))</x:f>
      </x:c>
      <x:c r="P222" s="142"/>
    </x:row>
    <x:row r="223" ht="19" customHeight="1">
      <x:c r="A223" s="142"/>
      <x:c r="B223" s="142"/>
      <x:c r="C223" s="142"/>
      <x:c r="D223" s="142"/>
      <x:c r="E223" s="142"/>
      <x:c r="F223" s="142"/>
      <x:c r="G223" s="208"/>
      <x:c r="H223" s="142"/>
      <x:c r="I223" s="142"/>
      <x:c r="J223" s="142"/>
      <x:c r="K223" s="142"/>
      <x:c r="L223" s="142"/>
      <x:c r="M223" s="142"/>
      <x:c r="N223" s="214" t="str">
        <x:f>IF(A223="","",SUMIF('PARTICIPAÇÕES OBRA'!$A$5:$A$254,A223,'PARTICIPAÇÕES OBRA'!$F$5:$F$254))</x:f>
      </x:c>
      <x:c r="O223" s="202" t="str">
        <x:f>IF(A223="","",IF(N223=1,"OK 100%","CONFERIR"))</x:f>
      </x:c>
      <x:c r="P223" s="142"/>
    </x:row>
    <x:row r="224" ht="19" customHeight="1">
      <x:c r="A224" s="142"/>
      <x:c r="B224" s="142"/>
      <x:c r="C224" s="142"/>
      <x:c r="D224" s="142"/>
      <x:c r="E224" s="142"/>
      <x:c r="F224" s="142"/>
      <x:c r="G224" s="208"/>
      <x:c r="H224" s="142"/>
      <x:c r="I224" s="142"/>
      <x:c r="J224" s="142"/>
      <x:c r="K224" s="142"/>
      <x:c r="L224" s="142"/>
      <x:c r="M224" s="142"/>
      <x:c r="N224" s="214" t="str">
        <x:f>IF(A224="","",SUMIF('PARTICIPAÇÕES OBRA'!$A$5:$A$254,A224,'PARTICIPAÇÕES OBRA'!$F$5:$F$254))</x:f>
      </x:c>
      <x:c r="O224" s="202" t="str">
        <x:f>IF(A224="","",IF(N224=1,"OK 100%","CONFERIR"))</x:f>
      </x:c>
      <x:c r="P224" s="142"/>
    </x:row>
    <x:row r="225" ht="19" customHeight="1">
      <x:c r="A225" s="142"/>
      <x:c r="B225" s="142"/>
      <x:c r="C225" s="142"/>
      <x:c r="D225" s="142"/>
      <x:c r="E225" s="142"/>
      <x:c r="F225" s="142"/>
      <x:c r="G225" s="208"/>
      <x:c r="H225" s="142"/>
      <x:c r="I225" s="142"/>
      <x:c r="J225" s="142"/>
      <x:c r="K225" s="142"/>
      <x:c r="L225" s="142"/>
      <x:c r="M225" s="142"/>
      <x:c r="N225" s="214" t="str">
        <x:f>IF(A225="","",SUMIF('PARTICIPAÇÕES OBRA'!$A$5:$A$254,A225,'PARTICIPAÇÕES OBRA'!$F$5:$F$254))</x:f>
      </x:c>
      <x:c r="O225" s="202" t="str">
        <x:f>IF(A225="","",IF(N225=1,"OK 100%","CONFERIR"))</x:f>
      </x:c>
      <x:c r="P225" s="142"/>
    </x:row>
    <x:row r="226" ht="19" customHeight="1">
      <x:c r="A226" s="142"/>
      <x:c r="B226" s="142"/>
      <x:c r="C226" s="142"/>
      <x:c r="D226" s="142"/>
      <x:c r="E226" s="142"/>
      <x:c r="F226" s="142"/>
      <x:c r="G226" s="208"/>
      <x:c r="H226" s="142"/>
      <x:c r="I226" s="142"/>
      <x:c r="J226" s="142"/>
      <x:c r="K226" s="142"/>
      <x:c r="L226" s="142"/>
      <x:c r="M226" s="142"/>
      <x:c r="N226" s="214" t="str">
        <x:f>IF(A226="","",SUMIF('PARTICIPAÇÕES OBRA'!$A$5:$A$254,A226,'PARTICIPAÇÕES OBRA'!$F$5:$F$254))</x:f>
      </x:c>
      <x:c r="O226" s="202" t="str">
        <x:f>IF(A226="","",IF(N226=1,"OK 100%","CONFERIR"))</x:f>
      </x:c>
      <x:c r="P226" s="142"/>
    </x:row>
    <x:row r="227" ht="19" customHeight="1">
      <x:c r="A227" s="142"/>
      <x:c r="B227" s="142"/>
      <x:c r="C227" s="142"/>
      <x:c r="D227" s="142"/>
      <x:c r="E227" s="142"/>
      <x:c r="F227" s="142"/>
      <x:c r="G227" s="208"/>
      <x:c r="H227" s="142"/>
      <x:c r="I227" s="142"/>
      <x:c r="J227" s="142"/>
      <x:c r="K227" s="142"/>
      <x:c r="L227" s="142"/>
      <x:c r="M227" s="142"/>
      <x:c r="N227" s="214" t="str">
        <x:f>IF(A227="","",SUMIF('PARTICIPAÇÕES OBRA'!$A$5:$A$254,A227,'PARTICIPAÇÕES OBRA'!$F$5:$F$254))</x:f>
      </x:c>
      <x:c r="O227" s="202" t="str">
        <x:f>IF(A227="","",IF(N227=1,"OK 100%","CONFERIR"))</x:f>
      </x:c>
      <x:c r="P227" s="142"/>
    </x:row>
    <x:row r="228" ht="19" customHeight="1">
      <x:c r="A228" s="142"/>
      <x:c r="B228" s="142"/>
      <x:c r="C228" s="142"/>
      <x:c r="D228" s="142"/>
      <x:c r="E228" s="142"/>
      <x:c r="F228" s="142"/>
      <x:c r="G228" s="208"/>
      <x:c r="H228" s="142"/>
      <x:c r="I228" s="142"/>
      <x:c r="J228" s="142"/>
      <x:c r="K228" s="142"/>
      <x:c r="L228" s="142"/>
      <x:c r="M228" s="142"/>
      <x:c r="N228" s="214" t="str">
        <x:f>IF(A228="","",SUMIF('PARTICIPAÇÕES OBRA'!$A$5:$A$254,A228,'PARTICIPAÇÕES OBRA'!$F$5:$F$254))</x:f>
      </x:c>
      <x:c r="O228" s="202" t="str">
        <x:f>IF(A228="","",IF(N228=1,"OK 100%","CONFERIR"))</x:f>
      </x:c>
      <x:c r="P228" s="142"/>
    </x:row>
    <x:row r="229" ht="19" customHeight="1">
      <x:c r="A229" s="142"/>
      <x:c r="B229" s="142"/>
      <x:c r="C229" s="142"/>
      <x:c r="D229" s="142"/>
      <x:c r="E229" s="142"/>
      <x:c r="F229" s="142"/>
      <x:c r="G229" s="208"/>
      <x:c r="H229" s="142"/>
      <x:c r="I229" s="142"/>
      <x:c r="J229" s="142"/>
      <x:c r="K229" s="142"/>
      <x:c r="L229" s="142"/>
      <x:c r="M229" s="142"/>
      <x:c r="N229" s="214" t="str">
        <x:f>IF(A229="","",SUMIF('PARTICIPAÇÕES OBRA'!$A$5:$A$254,A229,'PARTICIPAÇÕES OBRA'!$F$5:$F$254))</x:f>
      </x:c>
      <x:c r="O229" s="202" t="str">
        <x:f>IF(A229="","",IF(N229=1,"OK 100%","CONFERIR"))</x:f>
      </x:c>
      <x:c r="P229" s="142"/>
    </x:row>
    <x:row r="230" ht="19" customHeight="1">
      <x:c r="A230" s="142"/>
      <x:c r="B230" s="142"/>
      <x:c r="C230" s="142"/>
      <x:c r="D230" s="142"/>
      <x:c r="E230" s="142"/>
      <x:c r="F230" s="142"/>
      <x:c r="G230" s="208"/>
      <x:c r="H230" s="142"/>
      <x:c r="I230" s="142"/>
      <x:c r="J230" s="142"/>
      <x:c r="K230" s="142"/>
      <x:c r="L230" s="142"/>
      <x:c r="M230" s="142"/>
      <x:c r="N230" s="214" t="str">
        <x:f>IF(A230="","",SUMIF('PARTICIPAÇÕES OBRA'!$A$5:$A$254,A230,'PARTICIPAÇÕES OBRA'!$F$5:$F$254))</x:f>
      </x:c>
      <x:c r="O230" s="202" t="str">
        <x:f>IF(A230="","",IF(N230=1,"OK 100%","CONFERIR"))</x:f>
      </x:c>
      <x:c r="P230" s="142"/>
    </x:row>
    <x:row r="231" ht="19" customHeight="1">
      <x:c r="A231" s="142"/>
      <x:c r="B231" s="142"/>
      <x:c r="C231" s="142"/>
      <x:c r="D231" s="142"/>
      <x:c r="E231" s="142"/>
      <x:c r="F231" s="142"/>
      <x:c r="G231" s="208"/>
      <x:c r="H231" s="142"/>
      <x:c r="I231" s="142"/>
      <x:c r="J231" s="142"/>
      <x:c r="K231" s="142"/>
      <x:c r="L231" s="142"/>
      <x:c r="M231" s="142"/>
      <x:c r="N231" s="214" t="str">
        <x:f>IF(A231="","",SUMIF('PARTICIPAÇÕES OBRA'!$A$5:$A$254,A231,'PARTICIPAÇÕES OBRA'!$F$5:$F$254))</x:f>
      </x:c>
      <x:c r="O231" s="202" t="str">
        <x:f>IF(A231="","",IF(N231=1,"OK 100%","CONFERIR"))</x:f>
      </x:c>
      <x:c r="P231" s="142"/>
    </x:row>
    <x:row r="232" ht="19" customHeight="1">
      <x:c r="A232" s="142"/>
      <x:c r="B232" s="142"/>
      <x:c r="C232" s="142"/>
      <x:c r="D232" s="142"/>
      <x:c r="E232" s="142"/>
      <x:c r="F232" s="142"/>
      <x:c r="G232" s="208"/>
      <x:c r="H232" s="142"/>
      <x:c r="I232" s="142"/>
      <x:c r="J232" s="142"/>
      <x:c r="K232" s="142"/>
      <x:c r="L232" s="142"/>
      <x:c r="M232" s="142"/>
      <x:c r="N232" s="214" t="str">
        <x:f>IF(A232="","",SUMIF('PARTICIPAÇÕES OBRA'!$A$5:$A$254,A232,'PARTICIPAÇÕES OBRA'!$F$5:$F$254))</x:f>
      </x:c>
      <x:c r="O232" s="202" t="str">
        <x:f>IF(A232="","",IF(N232=1,"OK 100%","CONFERIR"))</x:f>
      </x:c>
      <x:c r="P232" s="142"/>
    </x:row>
    <x:row r="233" ht="19" customHeight="1">
      <x:c r="A233" s="142"/>
      <x:c r="B233" s="142"/>
      <x:c r="C233" s="142"/>
      <x:c r="D233" s="142"/>
      <x:c r="E233" s="142"/>
      <x:c r="F233" s="142"/>
      <x:c r="G233" s="208"/>
      <x:c r="H233" s="142"/>
      <x:c r="I233" s="142"/>
      <x:c r="J233" s="142"/>
      <x:c r="K233" s="142"/>
      <x:c r="L233" s="142"/>
      <x:c r="M233" s="142"/>
      <x:c r="N233" s="214" t="str">
        <x:f>IF(A233="","",SUMIF('PARTICIPAÇÕES OBRA'!$A$5:$A$254,A233,'PARTICIPAÇÕES OBRA'!$F$5:$F$254))</x:f>
      </x:c>
      <x:c r="O233" s="202" t="str">
        <x:f>IF(A233="","",IF(N233=1,"OK 100%","CONFERIR"))</x:f>
      </x:c>
      <x:c r="P233" s="142"/>
    </x:row>
    <x:row r="234" ht="19" customHeight="1">
      <x:c r="A234" s="142"/>
      <x:c r="B234" s="142"/>
      <x:c r="C234" s="142"/>
      <x:c r="D234" s="142"/>
      <x:c r="E234" s="142"/>
      <x:c r="F234" s="142"/>
      <x:c r="G234" s="208"/>
      <x:c r="H234" s="142"/>
      <x:c r="I234" s="142"/>
      <x:c r="J234" s="142"/>
      <x:c r="K234" s="142"/>
      <x:c r="L234" s="142"/>
      <x:c r="M234" s="142"/>
      <x:c r="N234" s="214" t="str">
        <x:f>IF(A234="","",SUMIF('PARTICIPAÇÕES OBRA'!$A$5:$A$254,A234,'PARTICIPAÇÕES OBRA'!$F$5:$F$254))</x:f>
      </x:c>
      <x:c r="O234" s="202" t="str">
        <x:f>IF(A234="","",IF(N234=1,"OK 100%","CONFERIR"))</x:f>
      </x:c>
      <x:c r="P234" s="142"/>
    </x:row>
    <x:row r="235" ht="19" customHeight="1">
      <x:c r="A235" s="142"/>
      <x:c r="B235" s="142"/>
      <x:c r="C235" s="142"/>
      <x:c r="D235" s="142"/>
      <x:c r="E235" s="142"/>
      <x:c r="F235" s="142"/>
      <x:c r="G235" s="208"/>
      <x:c r="H235" s="142"/>
      <x:c r="I235" s="142"/>
      <x:c r="J235" s="142"/>
      <x:c r="K235" s="142"/>
      <x:c r="L235" s="142"/>
      <x:c r="M235" s="142"/>
      <x:c r="N235" s="214" t="str">
        <x:f>IF(A235="","",SUMIF('PARTICIPAÇÕES OBRA'!$A$5:$A$254,A235,'PARTICIPAÇÕES OBRA'!$F$5:$F$254))</x:f>
      </x:c>
      <x:c r="O235" s="202" t="str">
        <x:f>IF(A235="","",IF(N235=1,"OK 100%","CONFERIR"))</x:f>
      </x:c>
      <x:c r="P235" s="142"/>
    </x:row>
    <x:row r="236" ht="19" customHeight="1">
      <x:c r="A236" s="142"/>
      <x:c r="B236" s="142"/>
      <x:c r="C236" s="142"/>
      <x:c r="D236" s="142"/>
      <x:c r="E236" s="142"/>
      <x:c r="F236" s="142"/>
      <x:c r="G236" s="208"/>
      <x:c r="H236" s="142"/>
      <x:c r="I236" s="142"/>
      <x:c r="J236" s="142"/>
      <x:c r="K236" s="142"/>
      <x:c r="L236" s="142"/>
      <x:c r="M236" s="142"/>
      <x:c r="N236" s="214" t="str">
        <x:f>IF(A236="","",SUMIF('PARTICIPAÇÕES OBRA'!$A$5:$A$254,A236,'PARTICIPAÇÕES OBRA'!$F$5:$F$254))</x:f>
      </x:c>
      <x:c r="O236" s="202" t="str">
        <x:f>IF(A236="","",IF(N236=1,"OK 100%","CONFERIR"))</x:f>
      </x:c>
      <x:c r="P236" s="142"/>
    </x:row>
    <x:row r="237" ht="19" customHeight="1">
      <x:c r="A237" s="142"/>
      <x:c r="B237" s="142"/>
      <x:c r="C237" s="142"/>
      <x:c r="D237" s="142"/>
      <x:c r="E237" s="142"/>
      <x:c r="F237" s="142"/>
      <x:c r="G237" s="208"/>
      <x:c r="H237" s="142"/>
      <x:c r="I237" s="142"/>
      <x:c r="J237" s="142"/>
      <x:c r="K237" s="142"/>
      <x:c r="L237" s="142"/>
      <x:c r="M237" s="142"/>
      <x:c r="N237" s="214" t="str">
        <x:f>IF(A237="","",SUMIF('PARTICIPAÇÕES OBRA'!$A$5:$A$254,A237,'PARTICIPAÇÕES OBRA'!$F$5:$F$254))</x:f>
      </x:c>
      <x:c r="O237" s="202" t="str">
        <x:f>IF(A237="","",IF(N237=1,"OK 100%","CONFERIR"))</x:f>
      </x:c>
      <x:c r="P237" s="142"/>
    </x:row>
    <x:row r="238" ht="19" customHeight="1">
      <x:c r="A238" s="142"/>
      <x:c r="B238" s="142"/>
      <x:c r="C238" s="142"/>
      <x:c r="D238" s="142"/>
      <x:c r="E238" s="142"/>
      <x:c r="F238" s="142"/>
      <x:c r="G238" s="208"/>
      <x:c r="H238" s="142"/>
      <x:c r="I238" s="142"/>
      <x:c r="J238" s="142"/>
      <x:c r="K238" s="142"/>
      <x:c r="L238" s="142"/>
      <x:c r="M238" s="142"/>
      <x:c r="N238" s="214" t="str">
        <x:f>IF(A238="","",SUMIF('PARTICIPAÇÕES OBRA'!$A$5:$A$254,A238,'PARTICIPAÇÕES OBRA'!$F$5:$F$254))</x:f>
      </x:c>
      <x:c r="O238" s="202" t="str">
        <x:f>IF(A238="","",IF(N238=1,"OK 100%","CONFERIR"))</x:f>
      </x:c>
      <x:c r="P238" s="142"/>
    </x:row>
    <x:row r="239" ht="19" customHeight="1">
      <x:c r="A239" s="142"/>
      <x:c r="B239" s="142"/>
      <x:c r="C239" s="142"/>
      <x:c r="D239" s="142"/>
      <x:c r="E239" s="142"/>
      <x:c r="F239" s="142"/>
      <x:c r="G239" s="208"/>
      <x:c r="H239" s="142"/>
      <x:c r="I239" s="142"/>
      <x:c r="J239" s="142"/>
      <x:c r="K239" s="142"/>
      <x:c r="L239" s="142"/>
      <x:c r="M239" s="142"/>
      <x:c r="N239" s="214" t="str">
        <x:f>IF(A239="","",SUMIF('PARTICIPAÇÕES OBRA'!$A$5:$A$254,A239,'PARTICIPAÇÕES OBRA'!$F$5:$F$254))</x:f>
      </x:c>
      <x:c r="O239" s="202" t="str">
        <x:f>IF(A239="","",IF(N239=1,"OK 100%","CONFERIR"))</x:f>
      </x:c>
      <x:c r="P239" s="142"/>
    </x:row>
    <x:row r="240" ht="19" customHeight="1">
      <x:c r="A240" s="142"/>
      <x:c r="B240" s="142"/>
      <x:c r="C240" s="142"/>
      <x:c r="D240" s="142"/>
      <x:c r="E240" s="142"/>
      <x:c r="F240" s="142"/>
      <x:c r="G240" s="208"/>
      <x:c r="H240" s="142"/>
      <x:c r="I240" s="142"/>
      <x:c r="J240" s="142"/>
      <x:c r="K240" s="142"/>
      <x:c r="L240" s="142"/>
      <x:c r="M240" s="142"/>
      <x:c r="N240" s="214" t="str">
        <x:f>IF(A240="","",SUMIF('PARTICIPAÇÕES OBRA'!$A$5:$A$254,A240,'PARTICIPAÇÕES OBRA'!$F$5:$F$254))</x:f>
      </x:c>
      <x:c r="O240" s="202" t="str">
        <x:f>IF(A240="","",IF(N240=1,"OK 100%","CONFERIR"))</x:f>
      </x:c>
      <x:c r="P240" s="142"/>
    </x:row>
    <x:row r="241" ht="19" customHeight="1">
      <x:c r="A241" s="142"/>
      <x:c r="B241" s="142"/>
      <x:c r="C241" s="142"/>
      <x:c r="D241" s="142"/>
      <x:c r="E241" s="142"/>
      <x:c r="F241" s="142"/>
      <x:c r="G241" s="208"/>
      <x:c r="H241" s="142"/>
      <x:c r="I241" s="142"/>
      <x:c r="J241" s="142"/>
      <x:c r="K241" s="142"/>
      <x:c r="L241" s="142"/>
      <x:c r="M241" s="142"/>
      <x:c r="N241" s="214" t="str">
        <x:f>IF(A241="","",SUMIF('PARTICIPAÇÕES OBRA'!$A$5:$A$254,A241,'PARTICIPAÇÕES OBRA'!$F$5:$F$254))</x:f>
      </x:c>
      <x:c r="O241" s="202" t="str">
        <x:f>IF(A241="","",IF(N241=1,"OK 100%","CONFERIR"))</x:f>
      </x:c>
      <x:c r="P241" s="142"/>
    </x:row>
    <x:row r="242" ht="19" customHeight="1">
      <x:c r="A242" s="142"/>
      <x:c r="B242" s="142"/>
      <x:c r="C242" s="142"/>
      <x:c r="D242" s="142"/>
      <x:c r="E242" s="142"/>
      <x:c r="F242" s="142"/>
      <x:c r="G242" s="208"/>
      <x:c r="H242" s="142"/>
      <x:c r="I242" s="142"/>
      <x:c r="J242" s="142"/>
      <x:c r="K242" s="142"/>
      <x:c r="L242" s="142"/>
      <x:c r="M242" s="142"/>
      <x:c r="N242" s="214" t="str">
        <x:f>IF(A242="","",SUMIF('PARTICIPAÇÕES OBRA'!$A$5:$A$254,A242,'PARTICIPAÇÕES OBRA'!$F$5:$F$254))</x:f>
      </x:c>
      <x:c r="O242" s="202" t="str">
        <x:f>IF(A242="","",IF(N242=1,"OK 100%","CONFERIR"))</x:f>
      </x:c>
      <x:c r="P242" s="142"/>
    </x:row>
    <x:row r="243" ht="19" customHeight="1">
      <x:c r="A243" s="142"/>
      <x:c r="B243" s="142"/>
      <x:c r="C243" s="142"/>
      <x:c r="D243" s="142"/>
      <x:c r="E243" s="142"/>
      <x:c r="F243" s="142"/>
      <x:c r="G243" s="208"/>
      <x:c r="H243" s="142"/>
      <x:c r="I243" s="142"/>
      <x:c r="J243" s="142"/>
      <x:c r="K243" s="142"/>
      <x:c r="L243" s="142"/>
      <x:c r="M243" s="142"/>
      <x:c r="N243" s="214" t="str">
        <x:f>IF(A243="","",SUMIF('PARTICIPAÇÕES OBRA'!$A$5:$A$254,A243,'PARTICIPAÇÕES OBRA'!$F$5:$F$254))</x:f>
      </x:c>
      <x:c r="O243" s="202" t="str">
        <x:f>IF(A243="","",IF(N243=1,"OK 100%","CONFERIR"))</x:f>
      </x:c>
      <x:c r="P243" s="142"/>
    </x:row>
    <x:row r="244" ht="19" customHeight="1">
      <x:c r="A244" s="142"/>
      <x:c r="B244" s="142"/>
      <x:c r="C244" s="142"/>
      <x:c r="D244" s="142"/>
      <x:c r="E244" s="142"/>
      <x:c r="F244" s="142"/>
      <x:c r="G244" s="208"/>
      <x:c r="H244" s="142"/>
      <x:c r="I244" s="142"/>
      <x:c r="J244" s="142"/>
      <x:c r="K244" s="142"/>
      <x:c r="L244" s="142"/>
      <x:c r="M244" s="142"/>
      <x:c r="N244" s="214" t="str">
        <x:f>IF(A244="","",SUMIF('PARTICIPAÇÕES OBRA'!$A$5:$A$254,A244,'PARTICIPAÇÕES OBRA'!$F$5:$F$254))</x:f>
      </x:c>
      <x:c r="O244" s="202" t="str">
        <x:f>IF(A244="","",IF(N244=1,"OK 100%","CONFERIR"))</x:f>
      </x:c>
      <x:c r="P244" s="142"/>
    </x:row>
    <x:row r="245" ht="19" customHeight="1">
      <x:c r="A245" s="142"/>
      <x:c r="B245" s="142"/>
      <x:c r="C245" s="142"/>
      <x:c r="D245" s="142"/>
      <x:c r="E245" s="142"/>
      <x:c r="F245" s="142"/>
      <x:c r="G245" s="208"/>
      <x:c r="H245" s="142"/>
      <x:c r="I245" s="142"/>
      <x:c r="J245" s="142"/>
      <x:c r="K245" s="142"/>
      <x:c r="L245" s="142"/>
      <x:c r="M245" s="142"/>
      <x:c r="N245" s="214" t="str">
        <x:f>IF(A245="","",SUMIF('PARTICIPAÇÕES OBRA'!$A$5:$A$254,A245,'PARTICIPAÇÕES OBRA'!$F$5:$F$254))</x:f>
      </x:c>
      <x:c r="O245" s="202" t="str">
        <x:f>IF(A245="","",IF(N245=1,"OK 100%","CONFERIR"))</x:f>
      </x:c>
      <x:c r="P245" s="142"/>
    </x:row>
    <x:row r="246" ht="19" customHeight="1">
      <x:c r="A246" s="142"/>
      <x:c r="B246" s="142"/>
      <x:c r="C246" s="142"/>
      <x:c r="D246" s="142"/>
      <x:c r="E246" s="142"/>
      <x:c r="F246" s="142"/>
      <x:c r="G246" s="208"/>
      <x:c r="H246" s="142"/>
      <x:c r="I246" s="142"/>
      <x:c r="J246" s="142"/>
      <x:c r="K246" s="142"/>
      <x:c r="L246" s="142"/>
      <x:c r="M246" s="142"/>
      <x:c r="N246" s="214" t="str">
        <x:f>IF(A246="","",SUMIF('PARTICIPAÇÕES OBRA'!$A$5:$A$254,A246,'PARTICIPAÇÕES OBRA'!$F$5:$F$254))</x:f>
      </x:c>
      <x:c r="O246" s="202" t="str">
        <x:f>IF(A246="","",IF(N246=1,"OK 100%","CONFERIR"))</x:f>
      </x:c>
      <x:c r="P246" s="142"/>
    </x:row>
    <x:row r="247" ht="19" customHeight="1">
      <x:c r="A247" s="142"/>
      <x:c r="B247" s="142"/>
      <x:c r="C247" s="142"/>
      <x:c r="D247" s="142"/>
      <x:c r="E247" s="142"/>
      <x:c r="F247" s="142"/>
      <x:c r="G247" s="208"/>
      <x:c r="H247" s="142"/>
      <x:c r="I247" s="142"/>
      <x:c r="J247" s="142"/>
      <x:c r="K247" s="142"/>
      <x:c r="L247" s="142"/>
      <x:c r="M247" s="142"/>
      <x:c r="N247" s="214" t="str">
        <x:f>IF(A247="","",SUMIF('PARTICIPAÇÕES OBRA'!$A$5:$A$254,A247,'PARTICIPAÇÕES OBRA'!$F$5:$F$254))</x:f>
      </x:c>
      <x:c r="O247" s="202" t="str">
        <x:f>IF(A247="","",IF(N247=1,"OK 100%","CONFERIR"))</x:f>
      </x:c>
      <x:c r="P247" s="142"/>
    </x:row>
    <x:row r="248" ht="19" customHeight="1">
      <x:c r="A248" s="142"/>
      <x:c r="B248" s="142"/>
      <x:c r="C248" s="142"/>
      <x:c r="D248" s="142"/>
      <x:c r="E248" s="142"/>
      <x:c r="F248" s="142"/>
      <x:c r="G248" s="208"/>
      <x:c r="H248" s="142"/>
      <x:c r="I248" s="142"/>
      <x:c r="J248" s="142"/>
      <x:c r="K248" s="142"/>
      <x:c r="L248" s="142"/>
      <x:c r="M248" s="142"/>
      <x:c r="N248" s="214" t="str">
        <x:f>IF(A248="","",SUMIF('PARTICIPAÇÕES OBRA'!$A$5:$A$254,A248,'PARTICIPAÇÕES OBRA'!$F$5:$F$254))</x:f>
      </x:c>
      <x:c r="O248" s="202" t="str">
        <x:f>IF(A248="","",IF(N248=1,"OK 100%","CONFERIR"))</x:f>
      </x:c>
      <x:c r="P248" s="142"/>
    </x:row>
    <x:row r="249" ht="19" customHeight="1">
      <x:c r="A249" s="142"/>
      <x:c r="B249" s="142"/>
      <x:c r="C249" s="142"/>
      <x:c r="D249" s="142"/>
      <x:c r="E249" s="142"/>
      <x:c r="F249" s="142"/>
      <x:c r="G249" s="208"/>
      <x:c r="H249" s="142"/>
      <x:c r="I249" s="142"/>
      <x:c r="J249" s="142"/>
      <x:c r="K249" s="142"/>
      <x:c r="L249" s="142"/>
      <x:c r="M249" s="142"/>
      <x:c r="N249" s="214" t="str">
        <x:f>IF(A249="","",SUMIF('PARTICIPAÇÕES OBRA'!$A$5:$A$254,A249,'PARTICIPAÇÕES OBRA'!$F$5:$F$254))</x:f>
      </x:c>
      <x:c r="O249" s="202" t="str">
        <x:f>IF(A249="","",IF(N249=1,"OK 100%","CONFERIR"))</x:f>
      </x:c>
      <x:c r="P249" s="142"/>
    </x:row>
    <x:row r="250" ht="19" customHeight="1">
      <x:c r="A250" s="142"/>
      <x:c r="B250" s="142"/>
      <x:c r="C250" s="142"/>
      <x:c r="D250" s="142"/>
      <x:c r="E250" s="142"/>
      <x:c r="F250" s="142"/>
      <x:c r="G250" s="208"/>
      <x:c r="H250" s="142"/>
      <x:c r="I250" s="142"/>
      <x:c r="J250" s="142"/>
      <x:c r="K250" s="142"/>
      <x:c r="L250" s="142"/>
      <x:c r="M250" s="142"/>
      <x:c r="N250" s="214" t="str">
        <x:f>IF(A250="","",SUMIF('PARTICIPAÇÕES OBRA'!$A$5:$A$254,A250,'PARTICIPAÇÕES OBRA'!$F$5:$F$254))</x:f>
      </x:c>
      <x:c r="O250" s="202" t="str">
        <x:f>IF(A250="","",IF(N250=1,"OK 100%","CONFERIR"))</x:f>
      </x:c>
      <x:c r="P250" s="142"/>
    </x:row>
    <x:row r="251" ht="19" customHeight="1">
      <x:c r="A251" s="142"/>
      <x:c r="B251" s="142"/>
      <x:c r="C251" s="142"/>
      <x:c r="D251" s="142"/>
      <x:c r="E251" s="142"/>
      <x:c r="F251" s="142"/>
      <x:c r="G251" s="208"/>
      <x:c r="H251" s="142"/>
      <x:c r="I251" s="142"/>
      <x:c r="J251" s="142"/>
      <x:c r="K251" s="142"/>
      <x:c r="L251" s="142"/>
      <x:c r="M251" s="142"/>
      <x:c r="N251" s="214" t="str">
        <x:f>IF(A251="","",SUMIF('PARTICIPAÇÕES OBRA'!$A$5:$A$254,A251,'PARTICIPAÇÕES OBRA'!$F$5:$F$254))</x:f>
      </x:c>
      <x:c r="O251" s="202" t="str">
        <x:f>IF(A251="","",IF(N251=1,"OK 100%","CONFERIR"))</x:f>
      </x:c>
      <x:c r="P251" s="142"/>
    </x:row>
    <x:row r="252" ht="19" customHeight="1">
      <x:c r="A252" s="142"/>
      <x:c r="B252" s="142"/>
      <x:c r="C252" s="142"/>
      <x:c r="D252" s="142"/>
      <x:c r="E252" s="142"/>
      <x:c r="F252" s="142"/>
      <x:c r="G252" s="208"/>
      <x:c r="H252" s="142"/>
      <x:c r="I252" s="142"/>
      <x:c r="J252" s="142"/>
      <x:c r="K252" s="142"/>
      <x:c r="L252" s="142"/>
      <x:c r="M252" s="142"/>
      <x:c r="N252" s="214" t="str">
        <x:f>IF(A252="","",SUMIF('PARTICIPAÇÕES OBRA'!$A$5:$A$254,A252,'PARTICIPAÇÕES OBRA'!$F$5:$F$254))</x:f>
      </x:c>
      <x:c r="O252" s="202" t="str">
        <x:f>IF(A252="","",IF(N252=1,"OK 100%","CONFERIR"))</x:f>
      </x:c>
      <x:c r="P252" s="142"/>
    </x:row>
    <x:row r="253" ht="19" customHeight="1">
      <x:c r="A253" s="142"/>
      <x:c r="B253" s="142"/>
      <x:c r="C253" s="142"/>
      <x:c r="D253" s="142"/>
      <x:c r="E253" s="142"/>
      <x:c r="F253" s="142"/>
      <x:c r="G253" s="208"/>
      <x:c r="H253" s="142"/>
      <x:c r="I253" s="142"/>
      <x:c r="J253" s="142"/>
      <x:c r="K253" s="142"/>
      <x:c r="L253" s="142"/>
      <x:c r="M253" s="142"/>
      <x:c r="N253" s="214" t="str">
        <x:f>IF(A253="","",SUMIF('PARTICIPAÇÕES OBRA'!$A$5:$A$254,A253,'PARTICIPAÇÕES OBRA'!$F$5:$F$254))</x:f>
      </x:c>
      <x:c r="O253" s="202" t="str">
        <x:f>IF(A253="","",IF(N253=1,"OK 100%","CONFERIR"))</x:f>
      </x:c>
      <x:c r="P253" s="142"/>
    </x:row>
    <x:row r="254" ht="19" customHeight="1">
      <x:c r="A254" s="143"/>
      <x:c r="B254" s="143"/>
      <x:c r="C254" s="143"/>
      <x:c r="D254" s="143"/>
      <x:c r="E254" s="143"/>
      <x:c r="F254" s="143"/>
      <x:c r="G254" s="209"/>
      <x:c r="H254" s="143"/>
      <x:c r="I254" s="143"/>
      <x:c r="J254" s="143"/>
      <x:c r="K254" s="143"/>
      <x:c r="L254" s="143"/>
      <x:c r="M254" s="143"/>
      <x:c r="N254" s="215" t="str">
        <x:f>IF(A254="","",SUMIF('PARTICIPAÇÕES OBRA'!$A$5:$A$254,A254,'PARTICIPAÇÕES OBRA'!$F$5:$F$254))</x:f>
      </x:c>
      <x:c r="O254" s="203" t="str">
        <x:f>IF(A254="","",IF(N254=1,"OK 100%","CONFERIR"))</x:f>
      </x:c>
      <x:c r="P254" s="143"/>
    </x:row>
  </x:sheetData>
  <x:mergeCells>
    <x:mergeCell ref="A1:P1"/>
    <x:mergeCell ref="A2:P2"/>
  </x:mergeCells>
  <x:conditionalFormatting sqref="O5:O254">
    <x:cfRule type="expression" dxfId="0" priority="1">
      <x:formula>O5="OK 100%"</x:formula>
    </x:cfRule>
    <x:cfRule type="expression" dxfId="1" priority="2">
      <x:formula>O5="CONFERIR"</x:formula>
    </x:cfRule>
  </x:conditionalFormatting>
  <x:dataValidations count="2">
    <x:dataValidation type="list" sqref="E5:E254">
      <x:formula1>"Original,Versão,Pot-pourri,Adaptação,Tradução,Domínio Público"</x:formula1>
    </x:dataValidation>
    <x:dataValidation type="list" sqref="H5:I254">
      <x:formula1>"Pendente,Em validação,Liberado,Duplicidade,Bloqueado,Pendente de documentação"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7d38a1cea3488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30" hidden="0" customWidth="1"/>
    <x:col min="5" max="5" width="20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30" hidden="0" customWidth="1"/>
    <x:col min="11" max="11" width="18" hidden="0" customWidth="1"/>
    <x:col min="12" max="12" width="34" hidden="0" customWidth="1"/>
  </x:cols>
  <x:sheetData>
    <x:row r="1" ht="28" customHeight="1">
      <x:c r="A1" s="5" t="str">
        <x:v>PARTICIPAÇÕES DE OBRA — AUTORES, EDITORES E SUBEDITORES</x:v>
      </x:c>
    </x:row>
    <x:row r="2" ht="32" customHeight="1">
      <x:c r="A2" s="14" t="str">
        <x:v>Inclua uma linha para cada participação. O total de cada obra é consolidado automaticamente na aba OBRAS.</x:v>
      </x:c>
    </x:row>
    <x:row r="4" ht="34" customHeight="1">
      <x:c r="A4" s="56" t="str">
        <x:v>ID Obra</x:v>
      </x:c>
      <x:c r="B4" s="56" t="str">
        <x:v>Título da Obra</x:v>
      </x:c>
      <x:c r="C4" s="56" t="str">
        <x:v>ID Titular</x:v>
      </x:c>
      <x:c r="D4" s="56" t="str">
        <x:v>Nome / Pseudônimo</x:v>
      </x:c>
      <x:c r="E4" s="56" t="str">
        <x:v>Categoria</x:v>
      </x:c>
      <x:c r="F4" s="56" t="str">
        <x:v>% Participação</x:v>
      </x:c>
      <x:c r="G4" s="56" t="str">
        <x:v>Território</x:v>
      </x:c>
      <x:c r="H4" s="56" t="str">
        <x:v>Início do Mandato</x:v>
      </x:c>
      <x:c r="I4" s="56" t="str">
        <x:v>Fim do Mandato</x:v>
      </x:c>
      <x:c r="J4" s="56" t="str">
        <x:v>Link / Contrato</x:v>
      </x:c>
      <x:c r="K4" s="56" t="str">
        <x:v>Status</x:v>
      </x:c>
      <x:c r="L4" s="56" t="str">
        <x:v>Observações</x:v>
      </x:c>
    </x:row>
    <x:row r="5" ht="19" customHeight="1">
      <x:c r="A5" s="141"/>
      <x:c r="B5" s="141"/>
      <x:c r="C5" s="141"/>
      <x:c r="D5" s="141"/>
      <x:c r="E5" s="141"/>
      <x:c r="F5" s="219"/>
      <x:c r="G5" s="141"/>
      <x:c r="H5" s="207"/>
      <x:c r="I5" s="207"/>
      <x:c r="J5" s="141"/>
      <x:c r="K5" s="141"/>
      <x:c r="L5" s="141"/>
    </x:row>
    <x:row r="6" ht="19" customHeight="1">
      <x:c r="A6" s="142"/>
      <x:c r="B6" s="142"/>
      <x:c r="C6" s="142"/>
      <x:c r="D6" s="142"/>
      <x:c r="E6" s="142"/>
      <x:c r="F6" s="220"/>
      <x:c r="G6" s="142"/>
      <x:c r="H6" s="208"/>
      <x:c r="I6" s="208"/>
      <x:c r="J6" s="142"/>
      <x:c r="K6" s="142"/>
      <x:c r="L6" s="142"/>
    </x:row>
    <x:row r="7" ht="19" customHeight="1">
      <x:c r="A7" s="142"/>
      <x:c r="B7" s="142"/>
      <x:c r="C7" s="142"/>
      <x:c r="D7" s="142"/>
      <x:c r="E7" s="142"/>
      <x:c r="F7" s="220"/>
      <x:c r="G7" s="142"/>
      <x:c r="H7" s="208"/>
      <x:c r="I7" s="208"/>
      <x:c r="J7" s="142"/>
      <x:c r="K7" s="142"/>
      <x:c r="L7" s="142"/>
    </x:row>
    <x:row r="8" ht="19" customHeight="1">
      <x:c r="A8" s="142"/>
      <x:c r="B8" s="142"/>
      <x:c r="C8" s="142"/>
      <x:c r="D8" s="142"/>
      <x:c r="E8" s="142"/>
      <x:c r="F8" s="220"/>
      <x:c r="G8" s="142"/>
      <x:c r="H8" s="208"/>
      <x:c r="I8" s="208"/>
      <x:c r="J8" s="142"/>
      <x:c r="K8" s="142"/>
      <x:c r="L8" s="142"/>
    </x:row>
    <x:row r="9" ht="19" customHeight="1">
      <x:c r="A9" s="142"/>
      <x:c r="B9" s="142"/>
      <x:c r="C9" s="142"/>
      <x:c r="D9" s="142"/>
      <x:c r="E9" s="142"/>
      <x:c r="F9" s="220"/>
      <x:c r="G9" s="142"/>
      <x:c r="H9" s="208"/>
      <x:c r="I9" s="208"/>
      <x:c r="J9" s="142"/>
      <x:c r="K9" s="142"/>
      <x:c r="L9" s="142"/>
    </x:row>
    <x:row r="10" ht="19" customHeight="1">
      <x:c r="A10" s="142"/>
      <x:c r="B10" s="142"/>
      <x:c r="C10" s="142"/>
      <x:c r="D10" s="142"/>
      <x:c r="E10" s="142"/>
      <x:c r="F10" s="220"/>
      <x:c r="G10" s="142"/>
      <x:c r="H10" s="208"/>
      <x:c r="I10" s="208"/>
      <x:c r="J10" s="142"/>
      <x:c r="K10" s="142"/>
      <x:c r="L10" s="142"/>
    </x:row>
    <x:row r="11" ht="19" customHeight="1">
      <x:c r="A11" s="142"/>
      <x:c r="B11" s="142"/>
      <x:c r="C11" s="142"/>
      <x:c r="D11" s="142"/>
      <x:c r="E11" s="142"/>
      <x:c r="F11" s="220"/>
      <x:c r="G11" s="142"/>
      <x:c r="H11" s="208"/>
      <x:c r="I11" s="208"/>
      <x:c r="J11" s="142"/>
      <x:c r="K11" s="142"/>
      <x:c r="L11" s="142"/>
    </x:row>
    <x:row r="12" ht="19" customHeight="1">
      <x:c r="A12" s="142"/>
      <x:c r="B12" s="142"/>
      <x:c r="C12" s="142"/>
      <x:c r="D12" s="142"/>
      <x:c r="E12" s="142"/>
      <x:c r="F12" s="220"/>
      <x:c r="G12" s="142"/>
      <x:c r="H12" s="208"/>
      <x:c r="I12" s="208"/>
      <x:c r="J12" s="142"/>
      <x:c r="K12" s="142"/>
      <x:c r="L12" s="142"/>
    </x:row>
    <x:row r="13" ht="19" customHeight="1">
      <x:c r="A13" s="142"/>
      <x:c r="B13" s="142"/>
      <x:c r="C13" s="142"/>
      <x:c r="D13" s="142"/>
      <x:c r="E13" s="142"/>
      <x:c r="F13" s="220"/>
      <x:c r="G13" s="142"/>
      <x:c r="H13" s="208"/>
      <x:c r="I13" s="208"/>
      <x:c r="J13" s="142"/>
      <x:c r="K13" s="142"/>
      <x:c r="L13" s="142"/>
    </x:row>
    <x:row r="14" ht="19" customHeight="1">
      <x:c r="A14" s="142"/>
      <x:c r="B14" s="142"/>
      <x:c r="C14" s="142"/>
      <x:c r="D14" s="142"/>
      <x:c r="E14" s="142"/>
      <x:c r="F14" s="220"/>
      <x:c r="G14" s="142"/>
      <x:c r="H14" s="208"/>
      <x:c r="I14" s="208"/>
      <x:c r="J14" s="142"/>
      <x:c r="K14" s="142"/>
      <x:c r="L14" s="142"/>
    </x:row>
    <x:row r="15" ht="19" customHeight="1">
      <x:c r="A15" s="142"/>
      <x:c r="B15" s="142"/>
      <x:c r="C15" s="142"/>
      <x:c r="D15" s="142"/>
      <x:c r="E15" s="142"/>
      <x:c r="F15" s="220"/>
      <x:c r="G15" s="142"/>
      <x:c r="H15" s="208"/>
      <x:c r="I15" s="208"/>
      <x:c r="J15" s="142"/>
      <x:c r="K15" s="142"/>
      <x:c r="L15" s="142"/>
    </x:row>
    <x:row r="16" ht="19" customHeight="1">
      <x:c r="A16" s="142"/>
      <x:c r="B16" s="142"/>
      <x:c r="C16" s="142"/>
      <x:c r="D16" s="142"/>
      <x:c r="E16" s="142"/>
      <x:c r="F16" s="220"/>
      <x:c r="G16" s="142"/>
      <x:c r="H16" s="208"/>
      <x:c r="I16" s="208"/>
      <x:c r="J16" s="142"/>
      <x:c r="K16" s="142"/>
      <x:c r="L16" s="142"/>
    </x:row>
    <x:row r="17" ht="19" customHeight="1">
      <x:c r="A17" s="142"/>
      <x:c r="B17" s="142"/>
      <x:c r="C17" s="142"/>
      <x:c r="D17" s="142"/>
      <x:c r="E17" s="142"/>
      <x:c r="F17" s="220"/>
      <x:c r="G17" s="142"/>
      <x:c r="H17" s="208"/>
      <x:c r="I17" s="208"/>
      <x:c r="J17" s="142"/>
      <x:c r="K17" s="142"/>
      <x:c r="L17" s="142"/>
    </x:row>
    <x:row r="18" ht="19" customHeight="1">
      <x:c r="A18" s="142"/>
      <x:c r="B18" s="142"/>
      <x:c r="C18" s="142"/>
      <x:c r="D18" s="142"/>
      <x:c r="E18" s="142"/>
      <x:c r="F18" s="220"/>
      <x:c r="G18" s="142"/>
      <x:c r="H18" s="208"/>
      <x:c r="I18" s="208"/>
      <x:c r="J18" s="142"/>
      <x:c r="K18" s="142"/>
      <x:c r="L18" s="142"/>
    </x:row>
    <x:row r="19" ht="19" customHeight="1">
      <x:c r="A19" s="142"/>
      <x:c r="B19" s="142"/>
      <x:c r="C19" s="142"/>
      <x:c r="D19" s="142"/>
      <x:c r="E19" s="142"/>
      <x:c r="F19" s="220"/>
      <x:c r="G19" s="142"/>
      <x:c r="H19" s="208"/>
      <x:c r="I19" s="208"/>
      <x:c r="J19" s="142"/>
      <x:c r="K19" s="142"/>
      <x:c r="L19" s="142"/>
    </x:row>
    <x:row r="20" ht="19" customHeight="1">
      <x:c r="A20" s="142"/>
      <x:c r="B20" s="142"/>
      <x:c r="C20" s="142"/>
      <x:c r="D20" s="142"/>
      <x:c r="E20" s="142"/>
      <x:c r="F20" s="220"/>
      <x:c r="G20" s="142"/>
      <x:c r="H20" s="208"/>
      <x:c r="I20" s="208"/>
      <x:c r="J20" s="142"/>
      <x:c r="K20" s="142"/>
      <x:c r="L20" s="142"/>
    </x:row>
    <x:row r="21" ht="19" customHeight="1">
      <x:c r="A21" s="142"/>
      <x:c r="B21" s="142"/>
      <x:c r="C21" s="142"/>
      <x:c r="D21" s="142"/>
      <x:c r="E21" s="142"/>
      <x:c r="F21" s="220"/>
      <x:c r="G21" s="142"/>
      <x:c r="H21" s="208"/>
      <x:c r="I21" s="208"/>
      <x:c r="J21" s="142"/>
      <x:c r="K21" s="142"/>
      <x:c r="L21" s="142"/>
    </x:row>
    <x:row r="22" ht="19" customHeight="1">
      <x:c r="A22" s="142"/>
      <x:c r="B22" s="142"/>
      <x:c r="C22" s="142"/>
      <x:c r="D22" s="142"/>
      <x:c r="E22" s="142"/>
      <x:c r="F22" s="220"/>
      <x:c r="G22" s="142"/>
      <x:c r="H22" s="208"/>
      <x:c r="I22" s="208"/>
      <x:c r="J22" s="142"/>
      <x:c r="K22" s="142"/>
      <x:c r="L22" s="142"/>
    </x:row>
    <x:row r="23" ht="19" customHeight="1">
      <x:c r="A23" s="142"/>
      <x:c r="B23" s="142"/>
      <x:c r="C23" s="142"/>
      <x:c r="D23" s="142"/>
      <x:c r="E23" s="142"/>
      <x:c r="F23" s="220"/>
      <x:c r="G23" s="142"/>
      <x:c r="H23" s="208"/>
      <x:c r="I23" s="208"/>
      <x:c r="J23" s="142"/>
      <x:c r="K23" s="142"/>
      <x:c r="L23" s="142"/>
    </x:row>
    <x:row r="24" ht="19" customHeight="1">
      <x:c r="A24" s="142"/>
      <x:c r="B24" s="142"/>
      <x:c r="C24" s="142"/>
      <x:c r="D24" s="142"/>
      <x:c r="E24" s="142"/>
      <x:c r="F24" s="220"/>
      <x:c r="G24" s="142"/>
      <x:c r="H24" s="208"/>
      <x:c r="I24" s="208"/>
      <x:c r="J24" s="142"/>
      <x:c r="K24" s="142"/>
      <x:c r="L24" s="142"/>
    </x:row>
    <x:row r="25" ht="19" customHeight="1">
      <x:c r="A25" s="142"/>
      <x:c r="B25" s="142"/>
      <x:c r="C25" s="142"/>
      <x:c r="D25" s="142"/>
      <x:c r="E25" s="142"/>
      <x:c r="F25" s="220"/>
      <x:c r="G25" s="142"/>
      <x:c r="H25" s="208"/>
      <x:c r="I25" s="208"/>
      <x:c r="J25" s="142"/>
      <x:c r="K25" s="142"/>
      <x:c r="L25" s="142"/>
    </x:row>
    <x:row r="26" ht="19" customHeight="1">
      <x:c r="A26" s="142"/>
      <x:c r="B26" s="142"/>
      <x:c r="C26" s="142"/>
      <x:c r="D26" s="142"/>
      <x:c r="E26" s="142"/>
      <x:c r="F26" s="220"/>
      <x:c r="G26" s="142"/>
      <x:c r="H26" s="208"/>
      <x:c r="I26" s="208"/>
      <x:c r="J26" s="142"/>
      <x:c r="K26" s="142"/>
      <x:c r="L26" s="142"/>
    </x:row>
    <x:row r="27" ht="19" customHeight="1">
      <x:c r="A27" s="142"/>
      <x:c r="B27" s="142"/>
      <x:c r="C27" s="142"/>
      <x:c r="D27" s="142"/>
      <x:c r="E27" s="142"/>
      <x:c r="F27" s="220"/>
      <x:c r="G27" s="142"/>
      <x:c r="H27" s="208"/>
      <x:c r="I27" s="208"/>
      <x:c r="J27" s="142"/>
      <x:c r="K27" s="142"/>
      <x:c r="L27" s="142"/>
    </x:row>
    <x:row r="28" ht="19" customHeight="1">
      <x:c r="A28" s="142"/>
      <x:c r="B28" s="142"/>
      <x:c r="C28" s="142"/>
      <x:c r="D28" s="142"/>
      <x:c r="E28" s="142"/>
      <x:c r="F28" s="220"/>
      <x:c r="G28" s="142"/>
      <x:c r="H28" s="208"/>
      <x:c r="I28" s="208"/>
      <x:c r="J28" s="142"/>
      <x:c r="K28" s="142"/>
      <x:c r="L28" s="142"/>
    </x:row>
    <x:row r="29" ht="19" customHeight="1">
      <x:c r="A29" s="142"/>
      <x:c r="B29" s="142"/>
      <x:c r="C29" s="142"/>
      <x:c r="D29" s="142"/>
      <x:c r="E29" s="142"/>
      <x:c r="F29" s="220"/>
      <x:c r="G29" s="142"/>
      <x:c r="H29" s="208"/>
      <x:c r="I29" s="208"/>
      <x:c r="J29" s="142"/>
      <x:c r="K29" s="142"/>
      <x:c r="L29" s="142"/>
    </x:row>
    <x:row r="30" ht="19" customHeight="1">
      <x:c r="A30" s="142"/>
      <x:c r="B30" s="142"/>
      <x:c r="C30" s="142"/>
      <x:c r="D30" s="142"/>
      <x:c r="E30" s="142"/>
      <x:c r="F30" s="220"/>
      <x:c r="G30" s="142"/>
      <x:c r="H30" s="208"/>
      <x:c r="I30" s="208"/>
      <x:c r="J30" s="142"/>
      <x:c r="K30" s="142"/>
      <x:c r="L30" s="142"/>
    </x:row>
    <x:row r="31" ht="19" customHeight="1">
      <x:c r="A31" s="142"/>
      <x:c r="B31" s="142"/>
      <x:c r="C31" s="142"/>
      <x:c r="D31" s="142"/>
      <x:c r="E31" s="142"/>
      <x:c r="F31" s="220"/>
      <x:c r="G31" s="142"/>
      <x:c r="H31" s="208"/>
      <x:c r="I31" s="208"/>
      <x:c r="J31" s="142"/>
      <x:c r="K31" s="142"/>
      <x:c r="L31" s="142"/>
    </x:row>
    <x:row r="32" ht="19" customHeight="1">
      <x:c r="A32" s="142"/>
      <x:c r="B32" s="142"/>
      <x:c r="C32" s="142"/>
      <x:c r="D32" s="142"/>
      <x:c r="E32" s="142"/>
      <x:c r="F32" s="220"/>
      <x:c r="G32" s="142"/>
      <x:c r="H32" s="208"/>
      <x:c r="I32" s="208"/>
      <x:c r="J32" s="142"/>
      <x:c r="K32" s="142"/>
      <x:c r="L32" s="142"/>
    </x:row>
    <x:row r="33" ht="19" customHeight="1">
      <x:c r="A33" s="142"/>
      <x:c r="B33" s="142"/>
      <x:c r="C33" s="142"/>
      <x:c r="D33" s="142"/>
      <x:c r="E33" s="142"/>
      <x:c r="F33" s="220"/>
      <x:c r="G33" s="142"/>
      <x:c r="H33" s="208"/>
      <x:c r="I33" s="208"/>
      <x:c r="J33" s="142"/>
      <x:c r="K33" s="142"/>
      <x:c r="L33" s="142"/>
    </x:row>
    <x:row r="34" ht="19" customHeight="1">
      <x:c r="A34" s="142"/>
      <x:c r="B34" s="142"/>
      <x:c r="C34" s="142"/>
      <x:c r="D34" s="142"/>
      <x:c r="E34" s="142"/>
      <x:c r="F34" s="220"/>
      <x:c r="G34" s="142"/>
      <x:c r="H34" s="208"/>
      <x:c r="I34" s="208"/>
      <x:c r="J34" s="142"/>
      <x:c r="K34" s="142"/>
      <x:c r="L34" s="142"/>
    </x:row>
    <x:row r="35" ht="19" customHeight="1">
      <x:c r="A35" s="142"/>
      <x:c r="B35" s="142"/>
      <x:c r="C35" s="142"/>
      <x:c r="D35" s="142"/>
      <x:c r="E35" s="142"/>
      <x:c r="F35" s="220"/>
      <x:c r="G35" s="142"/>
      <x:c r="H35" s="208"/>
      <x:c r="I35" s="208"/>
      <x:c r="J35" s="142"/>
      <x:c r="K35" s="142"/>
      <x:c r="L35" s="142"/>
    </x:row>
    <x:row r="36" ht="19" customHeight="1">
      <x:c r="A36" s="142"/>
      <x:c r="B36" s="142"/>
      <x:c r="C36" s="142"/>
      <x:c r="D36" s="142"/>
      <x:c r="E36" s="142"/>
      <x:c r="F36" s="220"/>
      <x:c r="G36" s="142"/>
      <x:c r="H36" s="208"/>
      <x:c r="I36" s="208"/>
      <x:c r="J36" s="142"/>
      <x:c r="K36" s="142"/>
      <x:c r="L36" s="142"/>
    </x:row>
    <x:row r="37" ht="19" customHeight="1">
      <x:c r="A37" s="142"/>
      <x:c r="B37" s="142"/>
      <x:c r="C37" s="142"/>
      <x:c r="D37" s="142"/>
      <x:c r="E37" s="142"/>
      <x:c r="F37" s="220"/>
      <x:c r="G37" s="142"/>
      <x:c r="H37" s="208"/>
      <x:c r="I37" s="208"/>
      <x:c r="J37" s="142"/>
      <x:c r="K37" s="142"/>
      <x:c r="L37" s="142"/>
    </x:row>
    <x:row r="38" ht="19" customHeight="1">
      <x:c r="A38" s="142"/>
      <x:c r="B38" s="142"/>
      <x:c r="C38" s="142"/>
      <x:c r="D38" s="142"/>
      <x:c r="E38" s="142"/>
      <x:c r="F38" s="220"/>
      <x:c r="G38" s="142"/>
      <x:c r="H38" s="208"/>
      <x:c r="I38" s="208"/>
      <x:c r="J38" s="142"/>
      <x:c r="K38" s="142"/>
      <x:c r="L38" s="142"/>
    </x:row>
    <x:row r="39" ht="19" customHeight="1">
      <x:c r="A39" s="142"/>
      <x:c r="B39" s="142"/>
      <x:c r="C39" s="142"/>
      <x:c r="D39" s="142"/>
      <x:c r="E39" s="142"/>
      <x:c r="F39" s="220"/>
      <x:c r="G39" s="142"/>
      <x:c r="H39" s="208"/>
      <x:c r="I39" s="208"/>
      <x:c r="J39" s="142"/>
      <x:c r="K39" s="142"/>
      <x:c r="L39" s="142"/>
    </x:row>
    <x:row r="40" ht="19" customHeight="1">
      <x:c r="A40" s="142"/>
      <x:c r="B40" s="142"/>
      <x:c r="C40" s="142"/>
      <x:c r="D40" s="142"/>
      <x:c r="E40" s="142"/>
      <x:c r="F40" s="220"/>
      <x:c r="G40" s="142"/>
      <x:c r="H40" s="208"/>
      <x:c r="I40" s="208"/>
      <x:c r="J40" s="142"/>
      <x:c r="K40" s="142"/>
      <x:c r="L40" s="142"/>
    </x:row>
    <x:row r="41" ht="19" customHeight="1">
      <x:c r="A41" s="142"/>
      <x:c r="B41" s="142"/>
      <x:c r="C41" s="142"/>
      <x:c r="D41" s="142"/>
      <x:c r="E41" s="142"/>
      <x:c r="F41" s="220"/>
      <x:c r="G41" s="142"/>
      <x:c r="H41" s="208"/>
      <x:c r="I41" s="208"/>
      <x:c r="J41" s="142"/>
      <x:c r="K41" s="142"/>
      <x:c r="L41" s="142"/>
    </x:row>
    <x:row r="42" ht="19" customHeight="1">
      <x:c r="A42" s="142"/>
      <x:c r="B42" s="142"/>
      <x:c r="C42" s="142"/>
      <x:c r="D42" s="142"/>
      <x:c r="E42" s="142"/>
      <x:c r="F42" s="220"/>
      <x:c r="G42" s="142"/>
      <x:c r="H42" s="208"/>
      <x:c r="I42" s="208"/>
      <x:c r="J42" s="142"/>
      <x:c r="K42" s="142"/>
      <x:c r="L42" s="142"/>
    </x:row>
    <x:row r="43" ht="19" customHeight="1">
      <x:c r="A43" s="142"/>
      <x:c r="B43" s="142"/>
      <x:c r="C43" s="142"/>
      <x:c r="D43" s="142"/>
      <x:c r="E43" s="142"/>
      <x:c r="F43" s="220"/>
      <x:c r="G43" s="142"/>
      <x:c r="H43" s="208"/>
      <x:c r="I43" s="208"/>
      <x:c r="J43" s="142"/>
      <x:c r="K43" s="142"/>
      <x:c r="L43" s="142"/>
    </x:row>
    <x:row r="44" ht="19" customHeight="1">
      <x:c r="A44" s="142"/>
      <x:c r="B44" s="142"/>
      <x:c r="C44" s="142"/>
      <x:c r="D44" s="142"/>
      <x:c r="E44" s="142"/>
      <x:c r="F44" s="220"/>
      <x:c r="G44" s="142"/>
      <x:c r="H44" s="208"/>
      <x:c r="I44" s="208"/>
      <x:c r="J44" s="142"/>
      <x:c r="K44" s="142"/>
      <x:c r="L44" s="142"/>
    </x:row>
    <x:row r="45" ht="19" customHeight="1">
      <x:c r="A45" s="142"/>
      <x:c r="B45" s="142"/>
      <x:c r="C45" s="142"/>
      <x:c r="D45" s="142"/>
      <x:c r="E45" s="142"/>
      <x:c r="F45" s="220"/>
      <x:c r="G45" s="142"/>
      <x:c r="H45" s="208"/>
      <x:c r="I45" s="208"/>
      <x:c r="J45" s="142"/>
      <x:c r="K45" s="142"/>
      <x:c r="L45" s="142"/>
    </x:row>
    <x:row r="46" ht="19" customHeight="1">
      <x:c r="A46" s="142"/>
      <x:c r="B46" s="142"/>
      <x:c r="C46" s="142"/>
      <x:c r="D46" s="142"/>
      <x:c r="E46" s="142"/>
      <x:c r="F46" s="220"/>
      <x:c r="G46" s="142"/>
      <x:c r="H46" s="208"/>
      <x:c r="I46" s="208"/>
      <x:c r="J46" s="142"/>
      <x:c r="K46" s="142"/>
      <x:c r="L46" s="142"/>
    </x:row>
    <x:row r="47" ht="19" customHeight="1">
      <x:c r="A47" s="142"/>
      <x:c r="B47" s="142"/>
      <x:c r="C47" s="142"/>
      <x:c r="D47" s="142"/>
      <x:c r="E47" s="142"/>
      <x:c r="F47" s="220"/>
      <x:c r="G47" s="142"/>
      <x:c r="H47" s="208"/>
      <x:c r="I47" s="208"/>
      <x:c r="J47" s="142"/>
      <x:c r="K47" s="142"/>
      <x:c r="L47" s="142"/>
    </x:row>
    <x:row r="48" ht="19" customHeight="1">
      <x:c r="A48" s="142"/>
      <x:c r="B48" s="142"/>
      <x:c r="C48" s="142"/>
      <x:c r="D48" s="142"/>
      <x:c r="E48" s="142"/>
      <x:c r="F48" s="220"/>
      <x:c r="G48" s="142"/>
      <x:c r="H48" s="208"/>
      <x:c r="I48" s="208"/>
      <x:c r="J48" s="142"/>
      <x:c r="K48" s="142"/>
      <x:c r="L48" s="142"/>
    </x:row>
    <x:row r="49" ht="19" customHeight="1">
      <x:c r="A49" s="142"/>
      <x:c r="B49" s="142"/>
      <x:c r="C49" s="142"/>
      <x:c r="D49" s="142"/>
      <x:c r="E49" s="142"/>
      <x:c r="F49" s="220"/>
      <x:c r="G49" s="142"/>
      <x:c r="H49" s="208"/>
      <x:c r="I49" s="208"/>
      <x:c r="J49" s="142"/>
      <x:c r="K49" s="142"/>
      <x:c r="L49" s="142"/>
    </x:row>
    <x:row r="50" ht="19" customHeight="1">
      <x:c r="A50" s="142"/>
      <x:c r="B50" s="142"/>
      <x:c r="C50" s="142"/>
      <x:c r="D50" s="142"/>
      <x:c r="E50" s="142"/>
      <x:c r="F50" s="220"/>
      <x:c r="G50" s="142"/>
      <x:c r="H50" s="208"/>
      <x:c r="I50" s="208"/>
      <x:c r="J50" s="142"/>
      <x:c r="K50" s="142"/>
      <x:c r="L50" s="142"/>
    </x:row>
    <x:row r="51" ht="19" customHeight="1">
      <x:c r="A51" s="142"/>
      <x:c r="B51" s="142"/>
      <x:c r="C51" s="142"/>
      <x:c r="D51" s="142"/>
      <x:c r="E51" s="142"/>
      <x:c r="F51" s="220"/>
      <x:c r="G51" s="142"/>
      <x:c r="H51" s="208"/>
      <x:c r="I51" s="208"/>
      <x:c r="J51" s="142"/>
      <x:c r="K51" s="142"/>
      <x:c r="L51" s="142"/>
    </x:row>
    <x:row r="52" ht="19" customHeight="1">
      <x:c r="A52" s="142"/>
      <x:c r="B52" s="142"/>
      <x:c r="C52" s="142"/>
      <x:c r="D52" s="142"/>
      <x:c r="E52" s="142"/>
      <x:c r="F52" s="220"/>
      <x:c r="G52" s="142"/>
      <x:c r="H52" s="208"/>
      <x:c r="I52" s="208"/>
      <x:c r="J52" s="142"/>
      <x:c r="K52" s="142"/>
      <x:c r="L52" s="142"/>
    </x:row>
    <x:row r="53" ht="19" customHeight="1">
      <x:c r="A53" s="142"/>
      <x:c r="B53" s="142"/>
      <x:c r="C53" s="142"/>
      <x:c r="D53" s="142"/>
      <x:c r="E53" s="142"/>
      <x:c r="F53" s="220"/>
      <x:c r="G53" s="142"/>
      <x:c r="H53" s="208"/>
      <x:c r="I53" s="208"/>
      <x:c r="J53" s="142"/>
      <x:c r="K53" s="142"/>
      <x:c r="L53" s="142"/>
    </x:row>
    <x:row r="54" ht="19" customHeight="1">
      <x:c r="A54" s="142"/>
      <x:c r="B54" s="142"/>
      <x:c r="C54" s="142"/>
      <x:c r="D54" s="142"/>
      <x:c r="E54" s="142"/>
      <x:c r="F54" s="220"/>
      <x:c r="G54" s="142"/>
      <x:c r="H54" s="208"/>
      <x:c r="I54" s="208"/>
      <x:c r="J54" s="142"/>
      <x:c r="K54" s="142"/>
      <x:c r="L54" s="142"/>
    </x:row>
    <x:row r="55" ht="19" customHeight="1">
      <x:c r="A55" s="142"/>
      <x:c r="B55" s="142"/>
      <x:c r="C55" s="142"/>
      <x:c r="D55" s="142"/>
      <x:c r="E55" s="142"/>
      <x:c r="F55" s="220"/>
      <x:c r="G55" s="142"/>
      <x:c r="H55" s="208"/>
      <x:c r="I55" s="208"/>
      <x:c r="J55" s="142"/>
      <x:c r="K55" s="142"/>
      <x:c r="L55" s="142"/>
    </x:row>
    <x:row r="56" ht="19" customHeight="1">
      <x:c r="A56" s="142"/>
      <x:c r="B56" s="142"/>
      <x:c r="C56" s="142"/>
      <x:c r="D56" s="142"/>
      <x:c r="E56" s="142"/>
      <x:c r="F56" s="220"/>
      <x:c r="G56" s="142"/>
      <x:c r="H56" s="208"/>
      <x:c r="I56" s="208"/>
      <x:c r="J56" s="142"/>
      <x:c r="K56" s="142"/>
      <x:c r="L56" s="142"/>
    </x:row>
    <x:row r="57" ht="19" customHeight="1">
      <x:c r="A57" s="142"/>
      <x:c r="B57" s="142"/>
      <x:c r="C57" s="142"/>
      <x:c r="D57" s="142"/>
      <x:c r="E57" s="142"/>
      <x:c r="F57" s="220"/>
      <x:c r="G57" s="142"/>
      <x:c r="H57" s="208"/>
      <x:c r="I57" s="208"/>
      <x:c r="J57" s="142"/>
      <x:c r="K57" s="142"/>
      <x:c r="L57" s="142"/>
    </x:row>
    <x:row r="58" ht="19" customHeight="1">
      <x:c r="A58" s="142"/>
      <x:c r="B58" s="142"/>
      <x:c r="C58" s="142"/>
      <x:c r="D58" s="142"/>
      <x:c r="E58" s="142"/>
      <x:c r="F58" s="220"/>
      <x:c r="G58" s="142"/>
      <x:c r="H58" s="208"/>
      <x:c r="I58" s="208"/>
      <x:c r="J58" s="142"/>
      <x:c r="K58" s="142"/>
      <x:c r="L58" s="142"/>
    </x:row>
    <x:row r="59" ht="19" customHeight="1">
      <x:c r="A59" s="142"/>
      <x:c r="B59" s="142"/>
      <x:c r="C59" s="142"/>
      <x:c r="D59" s="142"/>
      <x:c r="E59" s="142"/>
      <x:c r="F59" s="220"/>
      <x:c r="G59" s="142"/>
      <x:c r="H59" s="208"/>
      <x:c r="I59" s="208"/>
      <x:c r="J59" s="142"/>
      <x:c r="K59" s="142"/>
      <x:c r="L59" s="142"/>
    </x:row>
    <x:row r="60" ht="19" customHeight="1">
      <x:c r="A60" s="142"/>
      <x:c r="B60" s="142"/>
      <x:c r="C60" s="142"/>
      <x:c r="D60" s="142"/>
      <x:c r="E60" s="142"/>
      <x:c r="F60" s="220"/>
      <x:c r="G60" s="142"/>
      <x:c r="H60" s="208"/>
      <x:c r="I60" s="208"/>
      <x:c r="J60" s="142"/>
      <x:c r="K60" s="142"/>
      <x:c r="L60" s="142"/>
    </x:row>
    <x:row r="61" ht="19" customHeight="1">
      <x:c r="A61" s="142"/>
      <x:c r="B61" s="142"/>
      <x:c r="C61" s="142"/>
      <x:c r="D61" s="142"/>
      <x:c r="E61" s="142"/>
      <x:c r="F61" s="220"/>
      <x:c r="G61" s="142"/>
      <x:c r="H61" s="208"/>
      <x:c r="I61" s="208"/>
      <x:c r="J61" s="142"/>
      <x:c r="K61" s="142"/>
      <x:c r="L61" s="142"/>
    </x:row>
    <x:row r="62" ht="19" customHeight="1">
      <x:c r="A62" s="142"/>
      <x:c r="B62" s="142"/>
      <x:c r="C62" s="142"/>
      <x:c r="D62" s="142"/>
      <x:c r="E62" s="142"/>
      <x:c r="F62" s="220"/>
      <x:c r="G62" s="142"/>
      <x:c r="H62" s="208"/>
      <x:c r="I62" s="208"/>
      <x:c r="J62" s="142"/>
      <x:c r="K62" s="142"/>
      <x:c r="L62" s="142"/>
    </x:row>
    <x:row r="63" ht="19" customHeight="1">
      <x:c r="A63" s="142"/>
      <x:c r="B63" s="142"/>
      <x:c r="C63" s="142"/>
      <x:c r="D63" s="142"/>
      <x:c r="E63" s="142"/>
      <x:c r="F63" s="220"/>
      <x:c r="G63" s="142"/>
      <x:c r="H63" s="208"/>
      <x:c r="I63" s="208"/>
      <x:c r="J63" s="142"/>
      <x:c r="K63" s="142"/>
      <x:c r="L63" s="142"/>
    </x:row>
    <x:row r="64" ht="19" customHeight="1">
      <x:c r="A64" s="142"/>
      <x:c r="B64" s="142"/>
      <x:c r="C64" s="142"/>
      <x:c r="D64" s="142"/>
      <x:c r="E64" s="142"/>
      <x:c r="F64" s="220"/>
      <x:c r="G64" s="142"/>
      <x:c r="H64" s="208"/>
      <x:c r="I64" s="208"/>
      <x:c r="J64" s="142"/>
      <x:c r="K64" s="142"/>
      <x:c r="L64" s="142"/>
    </x:row>
    <x:row r="65" ht="19" customHeight="1">
      <x:c r="A65" s="142"/>
      <x:c r="B65" s="142"/>
      <x:c r="C65" s="142"/>
      <x:c r="D65" s="142"/>
      <x:c r="E65" s="142"/>
      <x:c r="F65" s="220"/>
      <x:c r="G65" s="142"/>
      <x:c r="H65" s="208"/>
      <x:c r="I65" s="208"/>
      <x:c r="J65" s="142"/>
      <x:c r="K65" s="142"/>
      <x:c r="L65" s="142"/>
    </x:row>
    <x:row r="66" ht="19" customHeight="1">
      <x:c r="A66" s="142"/>
      <x:c r="B66" s="142"/>
      <x:c r="C66" s="142"/>
      <x:c r="D66" s="142"/>
      <x:c r="E66" s="142"/>
      <x:c r="F66" s="220"/>
      <x:c r="G66" s="142"/>
      <x:c r="H66" s="208"/>
      <x:c r="I66" s="208"/>
      <x:c r="J66" s="142"/>
      <x:c r="K66" s="142"/>
      <x:c r="L66" s="142"/>
    </x:row>
    <x:row r="67" ht="19" customHeight="1">
      <x:c r="A67" s="142"/>
      <x:c r="B67" s="142"/>
      <x:c r="C67" s="142"/>
      <x:c r="D67" s="142"/>
      <x:c r="E67" s="142"/>
      <x:c r="F67" s="220"/>
      <x:c r="G67" s="142"/>
      <x:c r="H67" s="208"/>
      <x:c r="I67" s="208"/>
      <x:c r="J67" s="142"/>
      <x:c r="K67" s="142"/>
      <x:c r="L67" s="142"/>
    </x:row>
    <x:row r="68" ht="19" customHeight="1">
      <x:c r="A68" s="142"/>
      <x:c r="B68" s="142"/>
      <x:c r="C68" s="142"/>
      <x:c r="D68" s="142"/>
      <x:c r="E68" s="142"/>
      <x:c r="F68" s="220"/>
      <x:c r="G68" s="142"/>
      <x:c r="H68" s="208"/>
      <x:c r="I68" s="208"/>
      <x:c r="J68" s="142"/>
      <x:c r="K68" s="142"/>
      <x:c r="L68" s="142"/>
    </x:row>
    <x:row r="69" ht="19" customHeight="1">
      <x:c r="A69" s="142"/>
      <x:c r="B69" s="142"/>
      <x:c r="C69" s="142"/>
      <x:c r="D69" s="142"/>
      <x:c r="E69" s="142"/>
      <x:c r="F69" s="220"/>
      <x:c r="G69" s="142"/>
      <x:c r="H69" s="208"/>
      <x:c r="I69" s="208"/>
      <x:c r="J69" s="142"/>
      <x:c r="K69" s="142"/>
      <x:c r="L69" s="142"/>
    </x:row>
    <x:row r="70" ht="19" customHeight="1">
      <x:c r="A70" s="142"/>
      <x:c r="B70" s="142"/>
      <x:c r="C70" s="142"/>
      <x:c r="D70" s="142"/>
      <x:c r="E70" s="142"/>
      <x:c r="F70" s="220"/>
      <x:c r="G70" s="142"/>
      <x:c r="H70" s="208"/>
      <x:c r="I70" s="208"/>
      <x:c r="J70" s="142"/>
      <x:c r="K70" s="142"/>
      <x:c r="L70" s="142"/>
    </x:row>
    <x:row r="71" ht="19" customHeight="1">
      <x:c r="A71" s="142"/>
      <x:c r="B71" s="142"/>
      <x:c r="C71" s="142"/>
      <x:c r="D71" s="142"/>
      <x:c r="E71" s="142"/>
      <x:c r="F71" s="220"/>
      <x:c r="G71" s="142"/>
      <x:c r="H71" s="208"/>
      <x:c r="I71" s="208"/>
      <x:c r="J71" s="142"/>
      <x:c r="K71" s="142"/>
      <x:c r="L71" s="142"/>
    </x:row>
    <x:row r="72" ht="19" customHeight="1">
      <x:c r="A72" s="142"/>
      <x:c r="B72" s="142"/>
      <x:c r="C72" s="142"/>
      <x:c r="D72" s="142"/>
      <x:c r="E72" s="142"/>
      <x:c r="F72" s="220"/>
      <x:c r="G72" s="142"/>
      <x:c r="H72" s="208"/>
      <x:c r="I72" s="208"/>
      <x:c r="J72" s="142"/>
      <x:c r="K72" s="142"/>
      <x:c r="L72" s="142"/>
    </x:row>
    <x:row r="73" ht="19" customHeight="1">
      <x:c r="A73" s="142"/>
      <x:c r="B73" s="142"/>
      <x:c r="C73" s="142"/>
      <x:c r="D73" s="142"/>
      <x:c r="E73" s="142"/>
      <x:c r="F73" s="220"/>
      <x:c r="G73" s="142"/>
      <x:c r="H73" s="208"/>
      <x:c r="I73" s="208"/>
      <x:c r="J73" s="142"/>
      <x:c r="K73" s="142"/>
      <x:c r="L73" s="142"/>
    </x:row>
    <x:row r="74" ht="19" customHeight="1">
      <x:c r="A74" s="142"/>
      <x:c r="B74" s="142"/>
      <x:c r="C74" s="142"/>
      <x:c r="D74" s="142"/>
      <x:c r="E74" s="142"/>
      <x:c r="F74" s="220"/>
      <x:c r="G74" s="142"/>
      <x:c r="H74" s="208"/>
      <x:c r="I74" s="208"/>
      <x:c r="J74" s="142"/>
      <x:c r="K74" s="142"/>
      <x:c r="L74" s="142"/>
    </x:row>
    <x:row r="75" ht="19" customHeight="1">
      <x:c r="A75" s="142"/>
      <x:c r="B75" s="142"/>
      <x:c r="C75" s="142"/>
      <x:c r="D75" s="142"/>
      <x:c r="E75" s="142"/>
      <x:c r="F75" s="220"/>
      <x:c r="G75" s="142"/>
      <x:c r="H75" s="208"/>
      <x:c r="I75" s="208"/>
      <x:c r="J75" s="142"/>
      <x:c r="K75" s="142"/>
      <x:c r="L75" s="142"/>
    </x:row>
    <x:row r="76" ht="19" customHeight="1">
      <x:c r="A76" s="142"/>
      <x:c r="B76" s="142"/>
      <x:c r="C76" s="142"/>
      <x:c r="D76" s="142"/>
      <x:c r="E76" s="142"/>
      <x:c r="F76" s="220"/>
      <x:c r="G76" s="142"/>
      <x:c r="H76" s="208"/>
      <x:c r="I76" s="208"/>
      <x:c r="J76" s="142"/>
      <x:c r="K76" s="142"/>
      <x:c r="L76" s="142"/>
    </x:row>
    <x:row r="77" ht="19" customHeight="1">
      <x:c r="A77" s="142"/>
      <x:c r="B77" s="142"/>
      <x:c r="C77" s="142"/>
      <x:c r="D77" s="142"/>
      <x:c r="E77" s="142"/>
      <x:c r="F77" s="220"/>
      <x:c r="G77" s="142"/>
      <x:c r="H77" s="208"/>
      <x:c r="I77" s="208"/>
      <x:c r="J77" s="142"/>
      <x:c r="K77" s="142"/>
      <x:c r="L77" s="142"/>
    </x:row>
    <x:row r="78" ht="19" customHeight="1">
      <x:c r="A78" s="142"/>
      <x:c r="B78" s="142"/>
      <x:c r="C78" s="142"/>
      <x:c r="D78" s="142"/>
      <x:c r="E78" s="142"/>
      <x:c r="F78" s="220"/>
      <x:c r="G78" s="142"/>
      <x:c r="H78" s="208"/>
      <x:c r="I78" s="208"/>
      <x:c r="J78" s="142"/>
      <x:c r="K78" s="142"/>
      <x:c r="L78" s="142"/>
    </x:row>
    <x:row r="79" ht="19" customHeight="1">
      <x:c r="A79" s="142"/>
      <x:c r="B79" s="142"/>
      <x:c r="C79" s="142"/>
      <x:c r="D79" s="142"/>
      <x:c r="E79" s="142"/>
      <x:c r="F79" s="220"/>
      <x:c r="G79" s="142"/>
      <x:c r="H79" s="208"/>
      <x:c r="I79" s="208"/>
      <x:c r="J79" s="142"/>
      <x:c r="K79" s="142"/>
      <x:c r="L79" s="142"/>
    </x:row>
    <x:row r="80" ht="19" customHeight="1">
      <x:c r="A80" s="142"/>
      <x:c r="B80" s="142"/>
      <x:c r="C80" s="142"/>
      <x:c r="D80" s="142"/>
      <x:c r="E80" s="142"/>
      <x:c r="F80" s="220"/>
      <x:c r="G80" s="142"/>
      <x:c r="H80" s="208"/>
      <x:c r="I80" s="208"/>
      <x:c r="J80" s="142"/>
      <x:c r="K80" s="142"/>
      <x:c r="L80" s="142"/>
    </x:row>
    <x:row r="81" ht="19" customHeight="1">
      <x:c r="A81" s="142"/>
      <x:c r="B81" s="142"/>
      <x:c r="C81" s="142"/>
      <x:c r="D81" s="142"/>
      <x:c r="E81" s="142"/>
      <x:c r="F81" s="220"/>
      <x:c r="G81" s="142"/>
      <x:c r="H81" s="208"/>
      <x:c r="I81" s="208"/>
      <x:c r="J81" s="142"/>
      <x:c r="K81" s="142"/>
      <x:c r="L81" s="142"/>
    </x:row>
    <x:row r="82" ht="19" customHeight="1">
      <x:c r="A82" s="142"/>
      <x:c r="B82" s="142"/>
      <x:c r="C82" s="142"/>
      <x:c r="D82" s="142"/>
      <x:c r="E82" s="142"/>
      <x:c r="F82" s="220"/>
      <x:c r="G82" s="142"/>
      <x:c r="H82" s="208"/>
      <x:c r="I82" s="208"/>
      <x:c r="J82" s="142"/>
      <x:c r="K82" s="142"/>
      <x:c r="L82" s="142"/>
    </x:row>
    <x:row r="83" ht="19" customHeight="1">
      <x:c r="A83" s="142"/>
      <x:c r="B83" s="142"/>
      <x:c r="C83" s="142"/>
      <x:c r="D83" s="142"/>
      <x:c r="E83" s="142"/>
      <x:c r="F83" s="220"/>
      <x:c r="G83" s="142"/>
      <x:c r="H83" s="208"/>
      <x:c r="I83" s="208"/>
      <x:c r="J83" s="142"/>
      <x:c r="K83" s="142"/>
      <x:c r="L83" s="142"/>
    </x:row>
    <x:row r="84" ht="19" customHeight="1">
      <x:c r="A84" s="142"/>
      <x:c r="B84" s="142"/>
      <x:c r="C84" s="142"/>
      <x:c r="D84" s="142"/>
      <x:c r="E84" s="142"/>
      <x:c r="F84" s="220"/>
      <x:c r="G84" s="142"/>
      <x:c r="H84" s="208"/>
      <x:c r="I84" s="208"/>
      <x:c r="J84" s="142"/>
      <x:c r="K84" s="142"/>
      <x:c r="L84" s="142"/>
    </x:row>
    <x:row r="85" ht="19" customHeight="1">
      <x:c r="A85" s="142"/>
      <x:c r="B85" s="142"/>
      <x:c r="C85" s="142"/>
      <x:c r="D85" s="142"/>
      <x:c r="E85" s="142"/>
      <x:c r="F85" s="220"/>
      <x:c r="G85" s="142"/>
      <x:c r="H85" s="208"/>
      <x:c r="I85" s="208"/>
      <x:c r="J85" s="142"/>
      <x:c r="K85" s="142"/>
      <x:c r="L85" s="142"/>
    </x:row>
    <x:row r="86" ht="19" customHeight="1">
      <x:c r="A86" s="142"/>
      <x:c r="B86" s="142"/>
      <x:c r="C86" s="142"/>
      <x:c r="D86" s="142"/>
      <x:c r="E86" s="142"/>
      <x:c r="F86" s="220"/>
      <x:c r="G86" s="142"/>
      <x:c r="H86" s="208"/>
      <x:c r="I86" s="208"/>
      <x:c r="J86" s="142"/>
      <x:c r="K86" s="142"/>
      <x:c r="L86" s="142"/>
    </x:row>
    <x:row r="87" ht="19" customHeight="1">
      <x:c r="A87" s="142"/>
      <x:c r="B87" s="142"/>
      <x:c r="C87" s="142"/>
      <x:c r="D87" s="142"/>
      <x:c r="E87" s="142"/>
      <x:c r="F87" s="220"/>
      <x:c r="G87" s="142"/>
      <x:c r="H87" s="208"/>
      <x:c r="I87" s="208"/>
      <x:c r="J87" s="142"/>
      <x:c r="K87" s="142"/>
      <x:c r="L87" s="142"/>
    </x:row>
    <x:row r="88" ht="19" customHeight="1">
      <x:c r="A88" s="142"/>
      <x:c r="B88" s="142"/>
      <x:c r="C88" s="142"/>
      <x:c r="D88" s="142"/>
      <x:c r="E88" s="142"/>
      <x:c r="F88" s="220"/>
      <x:c r="G88" s="142"/>
      <x:c r="H88" s="208"/>
      <x:c r="I88" s="208"/>
      <x:c r="J88" s="142"/>
      <x:c r="K88" s="142"/>
      <x:c r="L88" s="142"/>
    </x:row>
    <x:row r="89" ht="19" customHeight="1">
      <x:c r="A89" s="142"/>
      <x:c r="B89" s="142"/>
      <x:c r="C89" s="142"/>
      <x:c r="D89" s="142"/>
      <x:c r="E89" s="142"/>
      <x:c r="F89" s="220"/>
      <x:c r="G89" s="142"/>
      <x:c r="H89" s="208"/>
      <x:c r="I89" s="208"/>
      <x:c r="J89" s="142"/>
      <x:c r="K89" s="142"/>
      <x:c r="L89" s="142"/>
    </x:row>
    <x:row r="90" ht="19" customHeight="1">
      <x:c r="A90" s="142"/>
      <x:c r="B90" s="142"/>
      <x:c r="C90" s="142"/>
      <x:c r="D90" s="142"/>
      <x:c r="E90" s="142"/>
      <x:c r="F90" s="220"/>
      <x:c r="G90" s="142"/>
      <x:c r="H90" s="208"/>
      <x:c r="I90" s="208"/>
      <x:c r="J90" s="142"/>
      <x:c r="K90" s="142"/>
      <x:c r="L90" s="142"/>
    </x:row>
    <x:row r="91" ht="19" customHeight="1">
      <x:c r="A91" s="142"/>
      <x:c r="B91" s="142"/>
      <x:c r="C91" s="142"/>
      <x:c r="D91" s="142"/>
      <x:c r="E91" s="142"/>
      <x:c r="F91" s="220"/>
      <x:c r="G91" s="142"/>
      <x:c r="H91" s="208"/>
      <x:c r="I91" s="208"/>
      <x:c r="J91" s="142"/>
      <x:c r="K91" s="142"/>
      <x:c r="L91" s="142"/>
    </x:row>
    <x:row r="92" ht="19" customHeight="1">
      <x:c r="A92" s="142"/>
      <x:c r="B92" s="142"/>
      <x:c r="C92" s="142"/>
      <x:c r="D92" s="142"/>
      <x:c r="E92" s="142"/>
      <x:c r="F92" s="220"/>
      <x:c r="G92" s="142"/>
      <x:c r="H92" s="208"/>
      <x:c r="I92" s="208"/>
      <x:c r="J92" s="142"/>
      <x:c r="K92" s="142"/>
      <x:c r="L92" s="142"/>
    </x:row>
    <x:row r="93" ht="19" customHeight="1">
      <x:c r="A93" s="142"/>
      <x:c r="B93" s="142"/>
      <x:c r="C93" s="142"/>
      <x:c r="D93" s="142"/>
      <x:c r="E93" s="142"/>
      <x:c r="F93" s="220"/>
      <x:c r="G93" s="142"/>
      <x:c r="H93" s="208"/>
      <x:c r="I93" s="208"/>
      <x:c r="J93" s="142"/>
      <x:c r="K93" s="142"/>
      <x:c r="L93" s="142"/>
    </x:row>
    <x:row r="94" ht="19" customHeight="1">
      <x:c r="A94" s="142"/>
      <x:c r="B94" s="142"/>
      <x:c r="C94" s="142"/>
      <x:c r="D94" s="142"/>
      <x:c r="E94" s="142"/>
      <x:c r="F94" s="220"/>
      <x:c r="G94" s="142"/>
      <x:c r="H94" s="208"/>
      <x:c r="I94" s="208"/>
      <x:c r="J94" s="142"/>
      <x:c r="K94" s="142"/>
      <x:c r="L94" s="142"/>
    </x:row>
    <x:row r="95" ht="19" customHeight="1">
      <x:c r="A95" s="142"/>
      <x:c r="B95" s="142"/>
      <x:c r="C95" s="142"/>
      <x:c r="D95" s="142"/>
      <x:c r="E95" s="142"/>
      <x:c r="F95" s="220"/>
      <x:c r="G95" s="142"/>
      <x:c r="H95" s="208"/>
      <x:c r="I95" s="208"/>
      <x:c r="J95" s="142"/>
      <x:c r="K95" s="142"/>
      <x:c r="L95" s="142"/>
    </x:row>
    <x:row r="96" ht="19" customHeight="1">
      <x:c r="A96" s="142"/>
      <x:c r="B96" s="142"/>
      <x:c r="C96" s="142"/>
      <x:c r="D96" s="142"/>
      <x:c r="E96" s="142"/>
      <x:c r="F96" s="220"/>
      <x:c r="G96" s="142"/>
      <x:c r="H96" s="208"/>
      <x:c r="I96" s="208"/>
      <x:c r="J96" s="142"/>
      <x:c r="K96" s="142"/>
      <x:c r="L96" s="142"/>
    </x:row>
    <x:row r="97" ht="19" customHeight="1">
      <x:c r="A97" s="142"/>
      <x:c r="B97" s="142"/>
      <x:c r="C97" s="142"/>
      <x:c r="D97" s="142"/>
      <x:c r="E97" s="142"/>
      <x:c r="F97" s="220"/>
      <x:c r="G97" s="142"/>
      <x:c r="H97" s="208"/>
      <x:c r="I97" s="208"/>
      <x:c r="J97" s="142"/>
      <x:c r="K97" s="142"/>
      <x:c r="L97" s="142"/>
    </x:row>
    <x:row r="98" ht="19" customHeight="1">
      <x:c r="A98" s="142"/>
      <x:c r="B98" s="142"/>
      <x:c r="C98" s="142"/>
      <x:c r="D98" s="142"/>
      <x:c r="E98" s="142"/>
      <x:c r="F98" s="220"/>
      <x:c r="G98" s="142"/>
      <x:c r="H98" s="208"/>
      <x:c r="I98" s="208"/>
      <x:c r="J98" s="142"/>
      <x:c r="K98" s="142"/>
      <x:c r="L98" s="142"/>
    </x:row>
    <x:row r="99" ht="19" customHeight="1">
      <x:c r="A99" s="142"/>
      <x:c r="B99" s="142"/>
      <x:c r="C99" s="142"/>
      <x:c r="D99" s="142"/>
      <x:c r="E99" s="142"/>
      <x:c r="F99" s="220"/>
      <x:c r="G99" s="142"/>
      <x:c r="H99" s="208"/>
      <x:c r="I99" s="208"/>
      <x:c r="J99" s="142"/>
      <x:c r="K99" s="142"/>
      <x:c r="L99" s="142"/>
    </x:row>
    <x:row r="100" ht="19" customHeight="1">
      <x:c r="A100" s="142"/>
      <x:c r="B100" s="142"/>
      <x:c r="C100" s="142"/>
      <x:c r="D100" s="142"/>
      <x:c r="E100" s="142"/>
      <x:c r="F100" s="220"/>
      <x:c r="G100" s="142"/>
      <x:c r="H100" s="208"/>
      <x:c r="I100" s="208"/>
      <x:c r="J100" s="142"/>
      <x:c r="K100" s="142"/>
      <x:c r="L100" s="142"/>
    </x:row>
    <x:row r="101" ht="19" customHeight="1">
      <x:c r="A101" s="142"/>
      <x:c r="B101" s="142"/>
      <x:c r="C101" s="142"/>
      <x:c r="D101" s="142"/>
      <x:c r="E101" s="142"/>
      <x:c r="F101" s="220"/>
      <x:c r="G101" s="142"/>
      <x:c r="H101" s="208"/>
      <x:c r="I101" s="208"/>
      <x:c r="J101" s="142"/>
      <x:c r="K101" s="142"/>
      <x:c r="L101" s="142"/>
    </x:row>
    <x:row r="102" ht="19" customHeight="1">
      <x:c r="A102" s="142"/>
      <x:c r="B102" s="142"/>
      <x:c r="C102" s="142"/>
      <x:c r="D102" s="142"/>
      <x:c r="E102" s="142"/>
      <x:c r="F102" s="220"/>
      <x:c r="G102" s="142"/>
      <x:c r="H102" s="208"/>
      <x:c r="I102" s="208"/>
      <x:c r="J102" s="142"/>
      <x:c r="K102" s="142"/>
      <x:c r="L102" s="142"/>
    </x:row>
    <x:row r="103" ht="19" customHeight="1">
      <x:c r="A103" s="142"/>
      <x:c r="B103" s="142"/>
      <x:c r="C103" s="142"/>
      <x:c r="D103" s="142"/>
      <x:c r="E103" s="142"/>
      <x:c r="F103" s="220"/>
      <x:c r="G103" s="142"/>
      <x:c r="H103" s="208"/>
      <x:c r="I103" s="208"/>
      <x:c r="J103" s="142"/>
      <x:c r="K103" s="142"/>
      <x:c r="L103" s="142"/>
    </x:row>
    <x:row r="104" ht="19" customHeight="1">
      <x:c r="A104" s="142"/>
      <x:c r="B104" s="142"/>
      <x:c r="C104" s="142"/>
      <x:c r="D104" s="142"/>
      <x:c r="E104" s="142"/>
      <x:c r="F104" s="220"/>
      <x:c r="G104" s="142"/>
      <x:c r="H104" s="208"/>
      <x:c r="I104" s="208"/>
      <x:c r="J104" s="142"/>
      <x:c r="K104" s="142"/>
      <x:c r="L104" s="142"/>
    </x:row>
    <x:row r="105" ht="19" customHeight="1">
      <x:c r="A105" s="142"/>
      <x:c r="B105" s="142"/>
      <x:c r="C105" s="142"/>
      <x:c r="D105" s="142"/>
      <x:c r="E105" s="142"/>
      <x:c r="F105" s="220"/>
      <x:c r="G105" s="142"/>
      <x:c r="H105" s="208"/>
      <x:c r="I105" s="208"/>
      <x:c r="J105" s="142"/>
      <x:c r="K105" s="142"/>
      <x:c r="L105" s="142"/>
    </x:row>
    <x:row r="106" ht="19" customHeight="1">
      <x:c r="A106" s="142"/>
      <x:c r="B106" s="142"/>
      <x:c r="C106" s="142"/>
      <x:c r="D106" s="142"/>
      <x:c r="E106" s="142"/>
      <x:c r="F106" s="220"/>
      <x:c r="G106" s="142"/>
      <x:c r="H106" s="208"/>
      <x:c r="I106" s="208"/>
      <x:c r="J106" s="142"/>
      <x:c r="K106" s="142"/>
      <x:c r="L106" s="142"/>
    </x:row>
    <x:row r="107" ht="19" customHeight="1">
      <x:c r="A107" s="142"/>
      <x:c r="B107" s="142"/>
      <x:c r="C107" s="142"/>
      <x:c r="D107" s="142"/>
      <x:c r="E107" s="142"/>
      <x:c r="F107" s="220"/>
      <x:c r="G107" s="142"/>
      <x:c r="H107" s="208"/>
      <x:c r="I107" s="208"/>
      <x:c r="J107" s="142"/>
      <x:c r="K107" s="142"/>
      <x:c r="L107" s="142"/>
    </x:row>
    <x:row r="108" ht="19" customHeight="1">
      <x:c r="A108" s="142"/>
      <x:c r="B108" s="142"/>
      <x:c r="C108" s="142"/>
      <x:c r="D108" s="142"/>
      <x:c r="E108" s="142"/>
      <x:c r="F108" s="220"/>
      <x:c r="G108" s="142"/>
      <x:c r="H108" s="208"/>
      <x:c r="I108" s="208"/>
      <x:c r="J108" s="142"/>
      <x:c r="K108" s="142"/>
      <x:c r="L108" s="142"/>
    </x:row>
    <x:row r="109" ht="19" customHeight="1">
      <x:c r="A109" s="142"/>
      <x:c r="B109" s="142"/>
      <x:c r="C109" s="142"/>
      <x:c r="D109" s="142"/>
      <x:c r="E109" s="142"/>
      <x:c r="F109" s="220"/>
      <x:c r="G109" s="142"/>
      <x:c r="H109" s="208"/>
      <x:c r="I109" s="208"/>
      <x:c r="J109" s="142"/>
      <x:c r="K109" s="142"/>
      <x:c r="L109" s="142"/>
    </x:row>
    <x:row r="110" ht="19" customHeight="1">
      <x:c r="A110" s="142"/>
      <x:c r="B110" s="142"/>
      <x:c r="C110" s="142"/>
      <x:c r="D110" s="142"/>
      <x:c r="E110" s="142"/>
      <x:c r="F110" s="220"/>
      <x:c r="G110" s="142"/>
      <x:c r="H110" s="208"/>
      <x:c r="I110" s="208"/>
      <x:c r="J110" s="142"/>
      <x:c r="K110" s="142"/>
      <x:c r="L110" s="142"/>
    </x:row>
    <x:row r="111" ht="19" customHeight="1">
      <x:c r="A111" s="142"/>
      <x:c r="B111" s="142"/>
      <x:c r="C111" s="142"/>
      <x:c r="D111" s="142"/>
      <x:c r="E111" s="142"/>
      <x:c r="F111" s="220"/>
      <x:c r="G111" s="142"/>
      <x:c r="H111" s="208"/>
      <x:c r="I111" s="208"/>
      <x:c r="J111" s="142"/>
      <x:c r="K111" s="142"/>
      <x:c r="L111" s="142"/>
    </x:row>
    <x:row r="112" ht="19" customHeight="1">
      <x:c r="A112" s="142"/>
      <x:c r="B112" s="142"/>
      <x:c r="C112" s="142"/>
      <x:c r="D112" s="142"/>
      <x:c r="E112" s="142"/>
      <x:c r="F112" s="220"/>
      <x:c r="G112" s="142"/>
      <x:c r="H112" s="208"/>
      <x:c r="I112" s="208"/>
      <x:c r="J112" s="142"/>
      <x:c r="K112" s="142"/>
      <x:c r="L112" s="142"/>
    </x:row>
    <x:row r="113" ht="19" customHeight="1">
      <x:c r="A113" s="142"/>
      <x:c r="B113" s="142"/>
      <x:c r="C113" s="142"/>
      <x:c r="D113" s="142"/>
      <x:c r="E113" s="142"/>
      <x:c r="F113" s="220"/>
      <x:c r="G113" s="142"/>
      <x:c r="H113" s="208"/>
      <x:c r="I113" s="208"/>
      <x:c r="J113" s="142"/>
      <x:c r="K113" s="142"/>
      <x:c r="L113" s="142"/>
    </x:row>
    <x:row r="114" ht="19" customHeight="1">
      <x:c r="A114" s="142"/>
      <x:c r="B114" s="142"/>
      <x:c r="C114" s="142"/>
      <x:c r="D114" s="142"/>
      <x:c r="E114" s="142"/>
      <x:c r="F114" s="220"/>
      <x:c r="G114" s="142"/>
      <x:c r="H114" s="208"/>
      <x:c r="I114" s="208"/>
      <x:c r="J114" s="142"/>
      <x:c r="K114" s="142"/>
      <x:c r="L114" s="142"/>
    </x:row>
    <x:row r="115" ht="19" customHeight="1">
      <x:c r="A115" s="142"/>
      <x:c r="B115" s="142"/>
      <x:c r="C115" s="142"/>
      <x:c r="D115" s="142"/>
      <x:c r="E115" s="142"/>
      <x:c r="F115" s="220"/>
      <x:c r="G115" s="142"/>
      <x:c r="H115" s="208"/>
      <x:c r="I115" s="208"/>
      <x:c r="J115" s="142"/>
      <x:c r="K115" s="142"/>
      <x:c r="L115" s="142"/>
    </x:row>
    <x:row r="116" ht="19" customHeight="1">
      <x:c r="A116" s="142"/>
      <x:c r="B116" s="142"/>
      <x:c r="C116" s="142"/>
      <x:c r="D116" s="142"/>
      <x:c r="E116" s="142"/>
      <x:c r="F116" s="220"/>
      <x:c r="G116" s="142"/>
      <x:c r="H116" s="208"/>
      <x:c r="I116" s="208"/>
      <x:c r="J116" s="142"/>
      <x:c r="K116" s="142"/>
      <x:c r="L116" s="142"/>
    </x:row>
    <x:row r="117" ht="19" customHeight="1">
      <x:c r="A117" s="142"/>
      <x:c r="B117" s="142"/>
      <x:c r="C117" s="142"/>
      <x:c r="D117" s="142"/>
      <x:c r="E117" s="142"/>
      <x:c r="F117" s="220"/>
      <x:c r="G117" s="142"/>
      <x:c r="H117" s="208"/>
      <x:c r="I117" s="208"/>
      <x:c r="J117" s="142"/>
      <x:c r="K117" s="142"/>
      <x:c r="L117" s="142"/>
    </x:row>
    <x:row r="118" ht="19" customHeight="1">
      <x:c r="A118" s="142"/>
      <x:c r="B118" s="142"/>
      <x:c r="C118" s="142"/>
      <x:c r="D118" s="142"/>
      <x:c r="E118" s="142"/>
      <x:c r="F118" s="220"/>
      <x:c r="G118" s="142"/>
      <x:c r="H118" s="208"/>
      <x:c r="I118" s="208"/>
      <x:c r="J118" s="142"/>
      <x:c r="K118" s="142"/>
      <x:c r="L118" s="142"/>
    </x:row>
    <x:row r="119" ht="19" customHeight="1">
      <x:c r="A119" s="142"/>
      <x:c r="B119" s="142"/>
      <x:c r="C119" s="142"/>
      <x:c r="D119" s="142"/>
      <x:c r="E119" s="142"/>
      <x:c r="F119" s="220"/>
      <x:c r="G119" s="142"/>
      <x:c r="H119" s="208"/>
      <x:c r="I119" s="208"/>
      <x:c r="J119" s="142"/>
      <x:c r="K119" s="142"/>
      <x:c r="L119" s="142"/>
    </x:row>
    <x:row r="120" ht="19" customHeight="1">
      <x:c r="A120" s="142"/>
      <x:c r="B120" s="142"/>
      <x:c r="C120" s="142"/>
      <x:c r="D120" s="142"/>
      <x:c r="E120" s="142"/>
      <x:c r="F120" s="220"/>
      <x:c r="G120" s="142"/>
      <x:c r="H120" s="208"/>
      <x:c r="I120" s="208"/>
      <x:c r="J120" s="142"/>
      <x:c r="K120" s="142"/>
      <x:c r="L120" s="142"/>
    </x:row>
    <x:row r="121" ht="19" customHeight="1">
      <x:c r="A121" s="142"/>
      <x:c r="B121" s="142"/>
      <x:c r="C121" s="142"/>
      <x:c r="D121" s="142"/>
      <x:c r="E121" s="142"/>
      <x:c r="F121" s="220"/>
      <x:c r="G121" s="142"/>
      <x:c r="H121" s="208"/>
      <x:c r="I121" s="208"/>
      <x:c r="J121" s="142"/>
      <x:c r="K121" s="142"/>
      <x:c r="L121" s="142"/>
    </x:row>
    <x:row r="122" ht="19" customHeight="1">
      <x:c r="A122" s="142"/>
      <x:c r="B122" s="142"/>
      <x:c r="C122" s="142"/>
      <x:c r="D122" s="142"/>
      <x:c r="E122" s="142"/>
      <x:c r="F122" s="220"/>
      <x:c r="G122" s="142"/>
      <x:c r="H122" s="208"/>
      <x:c r="I122" s="208"/>
      <x:c r="J122" s="142"/>
      <x:c r="K122" s="142"/>
      <x:c r="L122" s="142"/>
    </x:row>
    <x:row r="123" ht="19" customHeight="1">
      <x:c r="A123" s="142"/>
      <x:c r="B123" s="142"/>
      <x:c r="C123" s="142"/>
      <x:c r="D123" s="142"/>
      <x:c r="E123" s="142"/>
      <x:c r="F123" s="220"/>
      <x:c r="G123" s="142"/>
      <x:c r="H123" s="208"/>
      <x:c r="I123" s="208"/>
      <x:c r="J123" s="142"/>
      <x:c r="K123" s="142"/>
      <x:c r="L123" s="142"/>
    </x:row>
    <x:row r="124" ht="19" customHeight="1">
      <x:c r="A124" s="142"/>
      <x:c r="B124" s="142"/>
      <x:c r="C124" s="142"/>
      <x:c r="D124" s="142"/>
      <x:c r="E124" s="142"/>
      <x:c r="F124" s="220"/>
      <x:c r="G124" s="142"/>
      <x:c r="H124" s="208"/>
      <x:c r="I124" s="208"/>
      <x:c r="J124" s="142"/>
      <x:c r="K124" s="142"/>
      <x:c r="L124" s="142"/>
    </x:row>
    <x:row r="125" ht="19" customHeight="1">
      <x:c r="A125" s="142"/>
      <x:c r="B125" s="142"/>
      <x:c r="C125" s="142"/>
      <x:c r="D125" s="142"/>
      <x:c r="E125" s="142"/>
      <x:c r="F125" s="220"/>
      <x:c r="G125" s="142"/>
      <x:c r="H125" s="208"/>
      <x:c r="I125" s="208"/>
      <x:c r="J125" s="142"/>
      <x:c r="K125" s="142"/>
      <x:c r="L125" s="142"/>
    </x:row>
    <x:row r="126" ht="19" customHeight="1">
      <x:c r="A126" s="142"/>
      <x:c r="B126" s="142"/>
      <x:c r="C126" s="142"/>
      <x:c r="D126" s="142"/>
      <x:c r="E126" s="142"/>
      <x:c r="F126" s="220"/>
      <x:c r="G126" s="142"/>
      <x:c r="H126" s="208"/>
      <x:c r="I126" s="208"/>
      <x:c r="J126" s="142"/>
      <x:c r="K126" s="142"/>
      <x:c r="L126" s="142"/>
    </x:row>
    <x:row r="127" ht="19" customHeight="1">
      <x:c r="A127" s="142"/>
      <x:c r="B127" s="142"/>
      <x:c r="C127" s="142"/>
      <x:c r="D127" s="142"/>
      <x:c r="E127" s="142"/>
      <x:c r="F127" s="220"/>
      <x:c r="G127" s="142"/>
      <x:c r="H127" s="208"/>
      <x:c r="I127" s="208"/>
      <x:c r="J127" s="142"/>
      <x:c r="K127" s="142"/>
      <x:c r="L127" s="142"/>
    </x:row>
    <x:row r="128" ht="19" customHeight="1">
      <x:c r="A128" s="142"/>
      <x:c r="B128" s="142"/>
      <x:c r="C128" s="142"/>
      <x:c r="D128" s="142"/>
      <x:c r="E128" s="142"/>
      <x:c r="F128" s="220"/>
      <x:c r="G128" s="142"/>
      <x:c r="H128" s="208"/>
      <x:c r="I128" s="208"/>
      <x:c r="J128" s="142"/>
      <x:c r="K128" s="142"/>
      <x:c r="L128" s="142"/>
    </x:row>
    <x:row r="129" ht="19" customHeight="1">
      <x:c r="A129" s="142"/>
      <x:c r="B129" s="142"/>
      <x:c r="C129" s="142"/>
      <x:c r="D129" s="142"/>
      <x:c r="E129" s="142"/>
      <x:c r="F129" s="220"/>
      <x:c r="G129" s="142"/>
      <x:c r="H129" s="208"/>
      <x:c r="I129" s="208"/>
      <x:c r="J129" s="142"/>
      <x:c r="K129" s="142"/>
      <x:c r="L129" s="142"/>
    </x:row>
    <x:row r="130" ht="19" customHeight="1">
      <x:c r="A130" s="142"/>
      <x:c r="B130" s="142"/>
      <x:c r="C130" s="142"/>
      <x:c r="D130" s="142"/>
      <x:c r="E130" s="142"/>
      <x:c r="F130" s="220"/>
      <x:c r="G130" s="142"/>
      <x:c r="H130" s="208"/>
      <x:c r="I130" s="208"/>
      <x:c r="J130" s="142"/>
      <x:c r="K130" s="142"/>
      <x:c r="L130" s="142"/>
    </x:row>
    <x:row r="131" ht="19" customHeight="1">
      <x:c r="A131" s="142"/>
      <x:c r="B131" s="142"/>
      <x:c r="C131" s="142"/>
      <x:c r="D131" s="142"/>
      <x:c r="E131" s="142"/>
      <x:c r="F131" s="220"/>
      <x:c r="G131" s="142"/>
      <x:c r="H131" s="208"/>
      <x:c r="I131" s="208"/>
      <x:c r="J131" s="142"/>
      <x:c r="K131" s="142"/>
      <x:c r="L131" s="142"/>
    </x:row>
    <x:row r="132" ht="19" customHeight="1">
      <x:c r="A132" s="142"/>
      <x:c r="B132" s="142"/>
      <x:c r="C132" s="142"/>
      <x:c r="D132" s="142"/>
      <x:c r="E132" s="142"/>
      <x:c r="F132" s="220"/>
      <x:c r="G132" s="142"/>
      <x:c r="H132" s="208"/>
      <x:c r="I132" s="208"/>
      <x:c r="J132" s="142"/>
      <x:c r="K132" s="142"/>
      <x:c r="L132" s="142"/>
    </x:row>
    <x:row r="133" ht="19" customHeight="1">
      <x:c r="A133" s="142"/>
      <x:c r="B133" s="142"/>
      <x:c r="C133" s="142"/>
      <x:c r="D133" s="142"/>
      <x:c r="E133" s="142"/>
      <x:c r="F133" s="220"/>
      <x:c r="G133" s="142"/>
      <x:c r="H133" s="208"/>
      <x:c r="I133" s="208"/>
      <x:c r="J133" s="142"/>
      <x:c r="K133" s="142"/>
      <x:c r="L133" s="142"/>
    </x:row>
    <x:row r="134" ht="19" customHeight="1">
      <x:c r="A134" s="142"/>
      <x:c r="B134" s="142"/>
      <x:c r="C134" s="142"/>
      <x:c r="D134" s="142"/>
      <x:c r="E134" s="142"/>
      <x:c r="F134" s="220"/>
      <x:c r="G134" s="142"/>
      <x:c r="H134" s="208"/>
      <x:c r="I134" s="208"/>
      <x:c r="J134" s="142"/>
      <x:c r="K134" s="142"/>
      <x:c r="L134" s="142"/>
    </x:row>
    <x:row r="135" ht="19" customHeight="1">
      <x:c r="A135" s="142"/>
      <x:c r="B135" s="142"/>
      <x:c r="C135" s="142"/>
      <x:c r="D135" s="142"/>
      <x:c r="E135" s="142"/>
      <x:c r="F135" s="220"/>
      <x:c r="G135" s="142"/>
      <x:c r="H135" s="208"/>
      <x:c r="I135" s="208"/>
      <x:c r="J135" s="142"/>
      <x:c r="K135" s="142"/>
      <x:c r="L135" s="142"/>
    </x:row>
    <x:row r="136" ht="19" customHeight="1">
      <x:c r="A136" s="142"/>
      <x:c r="B136" s="142"/>
      <x:c r="C136" s="142"/>
      <x:c r="D136" s="142"/>
      <x:c r="E136" s="142"/>
      <x:c r="F136" s="220"/>
      <x:c r="G136" s="142"/>
      <x:c r="H136" s="208"/>
      <x:c r="I136" s="208"/>
      <x:c r="J136" s="142"/>
      <x:c r="K136" s="142"/>
      <x:c r="L136" s="142"/>
    </x:row>
    <x:row r="137" ht="19" customHeight="1">
      <x:c r="A137" s="142"/>
      <x:c r="B137" s="142"/>
      <x:c r="C137" s="142"/>
      <x:c r="D137" s="142"/>
      <x:c r="E137" s="142"/>
      <x:c r="F137" s="220"/>
      <x:c r="G137" s="142"/>
      <x:c r="H137" s="208"/>
      <x:c r="I137" s="208"/>
      <x:c r="J137" s="142"/>
      <x:c r="K137" s="142"/>
      <x:c r="L137" s="142"/>
    </x:row>
    <x:row r="138" ht="19" customHeight="1">
      <x:c r="A138" s="142"/>
      <x:c r="B138" s="142"/>
      <x:c r="C138" s="142"/>
      <x:c r="D138" s="142"/>
      <x:c r="E138" s="142"/>
      <x:c r="F138" s="220"/>
      <x:c r="G138" s="142"/>
      <x:c r="H138" s="208"/>
      <x:c r="I138" s="208"/>
      <x:c r="J138" s="142"/>
      <x:c r="K138" s="142"/>
      <x:c r="L138" s="142"/>
    </x:row>
    <x:row r="139" ht="19" customHeight="1">
      <x:c r="A139" s="142"/>
      <x:c r="B139" s="142"/>
      <x:c r="C139" s="142"/>
      <x:c r="D139" s="142"/>
      <x:c r="E139" s="142"/>
      <x:c r="F139" s="220"/>
      <x:c r="G139" s="142"/>
      <x:c r="H139" s="208"/>
      <x:c r="I139" s="208"/>
      <x:c r="J139" s="142"/>
      <x:c r="K139" s="142"/>
      <x:c r="L139" s="142"/>
    </x:row>
    <x:row r="140" ht="19" customHeight="1">
      <x:c r="A140" s="142"/>
      <x:c r="B140" s="142"/>
      <x:c r="C140" s="142"/>
      <x:c r="D140" s="142"/>
      <x:c r="E140" s="142"/>
      <x:c r="F140" s="220"/>
      <x:c r="G140" s="142"/>
      <x:c r="H140" s="208"/>
      <x:c r="I140" s="208"/>
      <x:c r="J140" s="142"/>
      <x:c r="K140" s="142"/>
      <x:c r="L140" s="142"/>
    </x:row>
    <x:row r="141" ht="19" customHeight="1">
      <x:c r="A141" s="142"/>
      <x:c r="B141" s="142"/>
      <x:c r="C141" s="142"/>
      <x:c r="D141" s="142"/>
      <x:c r="E141" s="142"/>
      <x:c r="F141" s="220"/>
      <x:c r="G141" s="142"/>
      <x:c r="H141" s="208"/>
      <x:c r="I141" s="208"/>
      <x:c r="J141" s="142"/>
      <x:c r="K141" s="142"/>
      <x:c r="L141" s="142"/>
    </x:row>
    <x:row r="142" ht="19" customHeight="1">
      <x:c r="A142" s="142"/>
      <x:c r="B142" s="142"/>
      <x:c r="C142" s="142"/>
      <x:c r="D142" s="142"/>
      <x:c r="E142" s="142"/>
      <x:c r="F142" s="220"/>
      <x:c r="G142" s="142"/>
      <x:c r="H142" s="208"/>
      <x:c r="I142" s="208"/>
      <x:c r="J142" s="142"/>
      <x:c r="K142" s="142"/>
      <x:c r="L142" s="142"/>
    </x:row>
    <x:row r="143" ht="19" customHeight="1">
      <x:c r="A143" s="142"/>
      <x:c r="B143" s="142"/>
      <x:c r="C143" s="142"/>
      <x:c r="D143" s="142"/>
      <x:c r="E143" s="142"/>
      <x:c r="F143" s="220"/>
      <x:c r="G143" s="142"/>
      <x:c r="H143" s="208"/>
      <x:c r="I143" s="208"/>
      <x:c r="J143" s="142"/>
      <x:c r="K143" s="142"/>
      <x:c r="L143" s="142"/>
    </x:row>
    <x:row r="144" ht="19" customHeight="1">
      <x:c r="A144" s="142"/>
      <x:c r="B144" s="142"/>
      <x:c r="C144" s="142"/>
      <x:c r="D144" s="142"/>
      <x:c r="E144" s="142"/>
      <x:c r="F144" s="220"/>
      <x:c r="G144" s="142"/>
      <x:c r="H144" s="208"/>
      <x:c r="I144" s="208"/>
      <x:c r="J144" s="142"/>
      <x:c r="K144" s="142"/>
      <x:c r="L144" s="142"/>
    </x:row>
    <x:row r="145" ht="19" customHeight="1">
      <x:c r="A145" s="142"/>
      <x:c r="B145" s="142"/>
      <x:c r="C145" s="142"/>
      <x:c r="D145" s="142"/>
      <x:c r="E145" s="142"/>
      <x:c r="F145" s="220"/>
      <x:c r="G145" s="142"/>
      <x:c r="H145" s="208"/>
      <x:c r="I145" s="208"/>
      <x:c r="J145" s="142"/>
      <x:c r="K145" s="142"/>
      <x:c r="L145" s="142"/>
    </x:row>
    <x:row r="146" ht="19" customHeight="1">
      <x:c r="A146" s="142"/>
      <x:c r="B146" s="142"/>
      <x:c r="C146" s="142"/>
      <x:c r="D146" s="142"/>
      <x:c r="E146" s="142"/>
      <x:c r="F146" s="220"/>
      <x:c r="G146" s="142"/>
      <x:c r="H146" s="208"/>
      <x:c r="I146" s="208"/>
      <x:c r="J146" s="142"/>
      <x:c r="K146" s="142"/>
      <x:c r="L146" s="142"/>
    </x:row>
    <x:row r="147" ht="19" customHeight="1">
      <x:c r="A147" s="142"/>
      <x:c r="B147" s="142"/>
      <x:c r="C147" s="142"/>
      <x:c r="D147" s="142"/>
      <x:c r="E147" s="142"/>
      <x:c r="F147" s="220"/>
      <x:c r="G147" s="142"/>
      <x:c r="H147" s="208"/>
      <x:c r="I147" s="208"/>
      <x:c r="J147" s="142"/>
      <x:c r="K147" s="142"/>
      <x:c r="L147" s="142"/>
    </x:row>
    <x:row r="148" ht="19" customHeight="1">
      <x:c r="A148" s="142"/>
      <x:c r="B148" s="142"/>
      <x:c r="C148" s="142"/>
      <x:c r="D148" s="142"/>
      <x:c r="E148" s="142"/>
      <x:c r="F148" s="220"/>
      <x:c r="G148" s="142"/>
      <x:c r="H148" s="208"/>
      <x:c r="I148" s="208"/>
      <x:c r="J148" s="142"/>
      <x:c r="K148" s="142"/>
      <x:c r="L148" s="142"/>
    </x:row>
    <x:row r="149" ht="19" customHeight="1">
      <x:c r="A149" s="142"/>
      <x:c r="B149" s="142"/>
      <x:c r="C149" s="142"/>
      <x:c r="D149" s="142"/>
      <x:c r="E149" s="142"/>
      <x:c r="F149" s="220"/>
      <x:c r="G149" s="142"/>
      <x:c r="H149" s="208"/>
      <x:c r="I149" s="208"/>
      <x:c r="J149" s="142"/>
      <x:c r="K149" s="142"/>
      <x:c r="L149" s="142"/>
    </x:row>
    <x:row r="150" ht="19" customHeight="1">
      <x:c r="A150" s="142"/>
      <x:c r="B150" s="142"/>
      <x:c r="C150" s="142"/>
      <x:c r="D150" s="142"/>
      <x:c r="E150" s="142"/>
      <x:c r="F150" s="220"/>
      <x:c r="G150" s="142"/>
      <x:c r="H150" s="208"/>
      <x:c r="I150" s="208"/>
      <x:c r="J150" s="142"/>
      <x:c r="K150" s="142"/>
      <x:c r="L150" s="142"/>
    </x:row>
    <x:row r="151" ht="19" customHeight="1">
      <x:c r="A151" s="142"/>
      <x:c r="B151" s="142"/>
      <x:c r="C151" s="142"/>
      <x:c r="D151" s="142"/>
      <x:c r="E151" s="142"/>
      <x:c r="F151" s="220"/>
      <x:c r="G151" s="142"/>
      <x:c r="H151" s="208"/>
      <x:c r="I151" s="208"/>
      <x:c r="J151" s="142"/>
      <x:c r="K151" s="142"/>
      <x:c r="L151" s="142"/>
    </x:row>
    <x:row r="152" ht="19" customHeight="1">
      <x:c r="A152" s="142"/>
      <x:c r="B152" s="142"/>
      <x:c r="C152" s="142"/>
      <x:c r="D152" s="142"/>
      <x:c r="E152" s="142"/>
      <x:c r="F152" s="220"/>
      <x:c r="G152" s="142"/>
      <x:c r="H152" s="208"/>
      <x:c r="I152" s="208"/>
      <x:c r="J152" s="142"/>
      <x:c r="K152" s="142"/>
      <x:c r="L152" s="142"/>
    </x:row>
    <x:row r="153" ht="19" customHeight="1">
      <x:c r="A153" s="142"/>
      <x:c r="B153" s="142"/>
      <x:c r="C153" s="142"/>
      <x:c r="D153" s="142"/>
      <x:c r="E153" s="142"/>
      <x:c r="F153" s="220"/>
      <x:c r="G153" s="142"/>
      <x:c r="H153" s="208"/>
      <x:c r="I153" s="208"/>
      <x:c r="J153" s="142"/>
      <x:c r="K153" s="142"/>
      <x:c r="L153" s="142"/>
    </x:row>
    <x:row r="154" ht="19" customHeight="1">
      <x:c r="A154" s="142"/>
      <x:c r="B154" s="142"/>
      <x:c r="C154" s="142"/>
      <x:c r="D154" s="142"/>
      <x:c r="E154" s="142"/>
      <x:c r="F154" s="220"/>
      <x:c r="G154" s="142"/>
      <x:c r="H154" s="208"/>
      <x:c r="I154" s="208"/>
      <x:c r="J154" s="142"/>
      <x:c r="K154" s="142"/>
      <x:c r="L154" s="142"/>
    </x:row>
    <x:row r="155" ht="19" customHeight="1">
      <x:c r="A155" s="142"/>
      <x:c r="B155" s="142"/>
      <x:c r="C155" s="142"/>
      <x:c r="D155" s="142"/>
      <x:c r="E155" s="142"/>
      <x:c r="F155" s="220"/>
      <x:c r="G155" s="142"/>
      <x:c r="H155" s="208"/>
      <x:c r="I155" s="208"/>
      <x:c r="J155" s="142"/>
      <x:c r="K155" s="142"/>
      <x:c r="L155" s="142"/>
    </x:row>
    <x:row r="156" ht="19" customHeight="1">
      <x:c r="A156" s="142"/>
      <x:c r="B156" s="142"/>
      <x:c r="C156" s="142"/>
      <x:c r="D156" s="142"/>
      <x:c r="E156" s="142"/>
      <x:c r="F156" s="220"/>
      <x:c r="G156" s="142"/>
      <x:c r="H156" s="208"/>
      <x:c r="I156" s="208"/>
      <x:c r="J156" s="142"/>
      <x:c r="K156" s="142"/>
      <x:c r="L156" s="142"/>
    </x:row>
    <x:row r="157" ht="19" customHeight="1">
      <x:c r="A157" s="142"/>
      <x:c r="B157" s="142"/>
      <x:c r="C157" s="142"/>
      <x:c r="D157" s="142"/>
      <x:c r="E157" s="142"/>
      <x:c r="F157" s="220"/>
      <x:c r="G157" s="142"/>
      <x:c r="H157" s="208"/>
      <x:c r="I157" s="208"/>
      <x:c r="J157" s="142"/>
      <x:c r="K157" s="142"/>
      <x:c r="L157" s="142"/>
    </x:row>
    <x:row r="158" ht="19" customHeight="1">
      <x:c r="A158" s="142"/>
      <x:c r="B158" s="142"/>
      <x:c r="C158" s="142"/>
      <x:c r="D158" s="142"/>
      <x:c r="E158" s="142"/>
      <x:c r="F158" s="220"/>
      <x:c r="G158" s="142"/>
      <x:c r="H158" s="208"/>
      <x:c r="I158" s="208"/>
      <x:c r="J158" s="142"/>
      <x:c r="K158" s="142"/>
      <x:c r="L158" s="142"/>
    </x:row>
    <x:row r="159" ht="19" customHeight="1">
      <x:c r="A159" s="142"/>
      <x:c r="B159" s="142"/>
      <x:c r="C159" s="142"/>
      <x:c r="D159" s="142"/>
      <x:c r="E159" s="142"/>
      <x:c r="F159" s="220"/>
      <x:c r="G159" s="142"/>
      <x:c r="H159" s="208"/>
      <x:c r="I159" s="208"/>
      <x:c r="J159" s="142"/>
      <x:c r="K159" s="142"/>
      <x:c r="L159" s="142"/>
    </x:row>
    <x:row r="160" ht="19" customHeight="1">
      <x:c r="A160" s="142"/>
      <x:c r="B160" s="142"/>
      <x:c r="C160" s="142"/>
      <x:c r="D160" s="142"/>
      <x:c r="E160" s="142"/>
      <x:c r="F160" s="220"/>
      <x:c r="G160" s="142"/>
      <x:c r="H160" s="208"/>
      <x:c r="I160" s="208"/>
      <x:c r="J160" s="142"/>
      <x:c r="K160" s="142"/>
      <x:c r="L160" s="142"/>
    </x:row>
    <x:row r="161" ht="19" customHeight="1">
      <x:c r="A161" s="142"/>
      <x:c r="B161" s="142"/>
      <x:c r="C161" s="142"/>
      <x:c r="D161" s="142"/>
      <x:c r="E161" s="142"/>
      <x:c r="F161" s="220"/>
      <x:c r="G161" s="142"/>
      <x:c r="H161" s="208"/>
      <x:c r="I161" s="208"/>
      <x:c r="J161" s="142"/>
      <x:c r="K161" s="142"/>
      <x:c r="L161" s="142"/>
    </x:row>
    <x:row r="162" ht="19" customHeight="1">
      <x:c r="A162" s="142"/>
      <x:c r="B162" s="142"/>
      <x:c r="C162" s="142"/>
      <x:c r="D162" s="142"/>
      <x:c r="E162" s="142"/>
      <x:c r="F162" s="220"/>
      <x:c r="G162" s="142"/>
      <x:c r="H162" s="208"/>
      <x:c r="I162" s="208"/>
      <x:c r="J162" s="142"/>
      <x:c r="K162" s="142"/>
      <x:c r="L162" s="142"/>
    </x:row>
    <x:row r="163" ht="19" customHeight="1">
      <x:c r="A163" s="142"/>
      <x:c r="B163" s="142"/>
      <x:c r="C163" s="142"/>
      <x:c r="D163" s="142"/>
      <x:c r="E163" s="142"/>
      <x:c r="F163" s="220"/>
      <x:c r="G163" s="142"/>
      <x:c r="H163" s="208"/>
      <x:c r="I163" s="208"/>
      <x:c r="J163" s="142"/>
      <x:c r="K163" s="142"/>
      <x:c r="L163" s="142"/>
    </x:row>
    <x:row r="164" ht="19" customHeight="1">
      <x:c r="A164" s="142"/>
      <x:c r="B164" s="142"/>
      <x:c r="C164" s="142"/>
      <x:c r="D164" s="142"/>
      <x:c r="E164" s="142"/>
      <x:c r="F164" s="220"/>
      <x:c r="G164" s="142"/>
      <x:c r="H164" s="208"/>
      <x:c r="I164" s="208"/>
      <x:c r="J164" s="142"/>
      <x:c r="K164" s="142"/>
      <x:c r="L164" s="142"/>
    </x:row>
    <x:row r="165" ht="19" customHeight="1">
      <x:c r="A165" s="142"/>
      <x:c r="B165" s="142"/>
      <x:c r="C165" s="142"/>
      <x:c r="D165" s="142"/>
      <x:c r="E165" s="142"/>
      <x:c r="F165" s="220"/>
      <x:c r="G165" s="142"/>
      <x:c r="H165" s="208"/>
      <x:c r="I165" s="208"/>
      <x:c r="J165" s="142"/>
      <x:c r="K165" s="142"/>
      <x:c r="L165" s="142"/>
    </x:row>
    <x:row r="166" ht="19" customHeight="1">
      <x:c r="A166" s="142"/>
      <x:c r="B166" s="142"/>
      <x:c r="C166" s="142"/>
      <x:c r="D166" s="142"/>
      <x:c r="E166" s="142"/>
      <x:c r="F166" s="220"/>
      <x:c r="G166" s="142"/>
      <x:c r="H166" s="208"/>
      <x:c r="I166" s="208"/>
      <x:c r="J166" s="142"/>
      <x:c r="K166" s="142"/>
      <x:c r="L166" s="142"/>
    </x:row>
    <x:row r="167" ht="19" customHeight="1">
      <x:c r="A167" s="142"/>
      <x:c r="B167" s="142"/>
      <x:c r="C167" s="142"/>
      <x:c r="D167" s="142"/>
      <x:c r="E167" s="142"/>
      <x:c r="F167" s="220"/>
      <x:c r="G167" s="142"/>
      <x:c r="H167" s="208"/>
      <x:c r="I167" s="208"/>
      <x:c r="J167" s="142"/>
      <x:c r="K167" s="142"/>
      <x:c r="L167" s="142"/>
    </x:row>
    <x:row r="168" ht="19" customHeight="1">
      <x:c r="A168" s="142"/>
      <x:c r="B168" s="142"/>
      <x:c r="C168" s="142"/>
      <x:c r="D168" s="142"/>
      <x:c r="E168" s="142"/>
      <x:c r="F168" s="220"/>
      <x:c r="G168" s="142"/>
      <x:c r="H168" s="208"/>
      <x:c r="I168" s="208"/>
      <x:c r="J168" s="142"/>
      <x:c r="K168" s="142"/>
      <x:c r="L168" s="142"/>
    </x:row>
    <x:row r="169" ht="19" customHeight="1">
      <x:c r="A169" s="142"/>
      <x:c r="B169" s="142"/>
      <x:c r="C169" s="142"/>
      <x:c r="D169" s="142"/>
      <x:c r="E169" s="142"/>
      <x:c r="F169" s="220"/>
      <x:c r="G169" s="142"/>
      <x:c r="H169" s="208"/>
      <x:c r="I169" s="208"/>
      <x:c r="J169" s="142"/>
      <x:c r="K169" s="142"/>
      <x:c r="L169" s="142"/>
    </x:row>
    <x:row r="170" ht="19" customHeight="1">
      <x:c r="A170" s="142"/>
      <x:c r="B170" s="142"/>
      <x:c r="C170" s="142"/>
      <x:c r="D170" s="142"/>
      <x:c r="E170" s="142"/>
      <x:c r="F170" s="220"/>
      <x:c r="G170" s="142"/>
      <x:c r="H170" s="208"/>
      <x:c r="I170" s="208"/>
      <x:c r="J170" s="142"/>
      <x:c r="K170" s="142"/>
      <x:c r="L170" s="142"/>
    </x:row>
    <x:row r="171" ht="19" customHeight="1">
      <x:c r="A171" s="142"/>
      <x:c r="B171" s="142"/>
      <x:c r="C171" s="142"/>
      <x:c r="D171" s="142"/>
      <x:c r="E171" s="142"/>
      <x:c r="F171" s="220"/>
      <x:c r="G171" s="142"/>
      <x:c r="H171" s="208"/>
      <x:c r="I171" s="208"/>
      <x:c r="J171" s="142"/>
      <x:c r="K171" s="142"/>
      <x:c r="L171" s="142"/>
    </x:row>
    <x:row r="172" ht="19" customHeight="1">
      <x:c r="A172" s="142"/>
      <x:c r="B172" s="142"/>
      <x:c r="C172" s="142"/>
      <x:c r="D172" s="142"/>
      <x:c r="E172" s="142"/>
      <x:c r="F172" s="220"/>
      <x:c r="G172" s="142"/>
      <x:c r="H172" s="208"/>
      <x:c r="I172" s="208"/>
      <x:c r="J172" s="142"/>
      <x:c r="K172" s="142"/>
      <x:c r="L172" s="142"/>
    </x:row>
    <x:row r="173" ht="19" customHeight="1">
      <x:c r="A173" s="142"/>
      <x:c r="B173" s="142"/>
      <x:c r="C173" s="142"/>
      <x:c r="D173" s="142"/>
      <x:c r="E173" s="142"/>
      <x:c r="F173" s="220"/>
      <x:c r="G173" s="142"/>
      <x:c r="H173" s="208"/>
      <x:c r="I173" s="208"/>
      <x:c r="J173" s="142"/>
      <x:c r="K173" s="142"/>
      <x:c r="L173" s="142"/>
    </x:row>
    <x:row r="174" ht="19" customHeight="1">
      <x:c r="A174" s="142"/>
      <x:c r="B174" s="142"/>
      <x:c r="C174" s="142"/>
      <x:c r="D174" s="142"/>
      <x:c r="E174" s="142"/>
      <x:c r="F174" s="220"/>
      <x:c r="G174" s="142"/>
      <x:c r="H174" s="208"/>
      <x:c r="I174" s="208"/>
      <x:c r="J174" s="142"/>
      <x:c r="K174" s="142"/>
      <x:c r="L174" s="142"/>
    </x:row>
    <x:row r="175" ht="19" customHeight="1">
      <x:c r="A175" s="142"/>
      <x:c r="B175" s="142"/>
      <x:c r="C175" s="142"/>
      <x:c r="D175" s="142"/>
      <x:c r="E175" s="142"/>
      <x:c r="F175" s="220"/>
      <x:c r="G175" s="142"/>
      <x:c r="H175" s="208"/>
      <x:c r="I175" s="208"/>
      <x:c r="J175" s="142"/>
      <x:c r="K175" s="142"/>
      <x:c r="L175" s="142"/>
    </x:row>
    <x:row r="176" ht="19" customHeight="1">
      <x:c r="A176" s="142"/>
      <x:c r="B176" s="142"/>
      <x:c r="C176" s="142"/>
      <x:c r="D176" s="142"/>
      <x:c r="E176" s="142"/>
      <x:c r="F176" s="220"/>
      <x:c r="G176" s="142"/>
      <x:c r="H176" s="208"/>
      <x:c r="I176" s="208"/>
      <x:c r="J176" s="142"/>
      <x:c r="K176" s="142"/>
      <x:c r="L176" s="142"/>
    </x:row>
    <x:row r="177" ht="19" customHeight="1">
      <x:c r="A177" s="142"/>
      <x:c r="B177" s="142"/>
      <x:c r="C177" s="142"/>
      <x:c r="D177" s="142"/>
      <x:c r="E177" s="142"/>
      <x:c r="F177" s="220"/>
      <x:c r="G177" s="142"/>
      <x:c r="H177" s="208"/>
      <x:c r="I177" s="208"/>
      <x:c r="J177" s="142"/>
      <x:c r="K177" s="142"/>
      <x:c r="L177" s="142"/>
    </x:row>
    <x:row r="178" ht="19" customHeight="1">
      <x:c r="A178" s="142"/>
      <x:c r="B178" s="142"/>
      <x:c r="C178" s="142"/>
      <x:c r="D178" s="142"/>
      <x:c r="E178" s="142"/>
      <x:c r="F178" s="220"/>
      <x:c r="G178" s="142"/>
      <x:c r="H178" s="208"/>
      <x:c r="I178" s="208"/>
      <x:c r="J178" s="142"/>
      <x:c r="K178" s="142"/>
      <x:c r="L178" s="142"/>
    </x:row>
    <x:row r="179" ht="19" customHeight="1">
      <x:c r="A179" s="142"/>
      <x:c r="B179" s="142"/>
      <x:c r="C179" s="142"/>
      <x:c r="D179" s="142"/>
      <x:c r="E179" s="142"/>
      <x:c r="F179" s="220"/>
      <x:c r="G179" s="142"/>
      <x:c r="H179" s="208"/>
      <x:c r="I179" s="208"/>
      <x:c r="J179" s="142"/>
      <x:c r="K179" s="142"/>
      <x:c r="L179" s="142"/>
    </x:row>
    <x:row r="180" ht="19" customHeight="1">
      <x:c r="A180" s="142"/>
      <x:c r="B180" s="142"/>
      <x:c r="C180" s="142"/>
      <x:c r="D180" s="142"/>
      <x:c r="E180" s="142"/>
      <x:c r="F180" s="220"/>
      <x:c r="G180" s="142"/>
      <x:c r="H180" s="208"/>
      <x:c r="I180" s="208"/>
      <x:c r="J180" s="142"/>
      <x:c r="K180" s="142"/>
      <x:c r="L180" s="142"/>
    </x:row>
    <x:row r="181" ht="19" customHeight="1">
      <x:c r="A181" s="142"/>
      <x:c r="B181" s="142"/>
      <x:c r="C181" s="142"/>
      <x:c r="D181" s="142"/>
      <x:c r="E181" s="142"/>
      <x:c r="F181" s="220"/>
      <x:c r="G181" s="142"/>
      <x:c r="H181" s="208"/>
      <x:c r="I181" s="208"/>
      <x:c r="J181" s="142"/>
      <x:c r="K181" s="142"/>
      <x:c r="L181" s="142"/>
    </x:row>
    <x:row r="182" ht="19" customHeight="1">
      <x:c r="A182" s="142"/>
      <x:c r="B182" s="142"/>
      <x:c r="C182" s="142"/>
      <x:c r="D182" s="142"/>
      <x:c r="E182" s="142"/>
      <x:c r="F182" s="220"/>
      <x:c r="G182" s="142"/>
      <x:c r="H182" s="208"/>
      <x:c r="I182" s="208"/>
      <x:c r="J182" s="142"/>
      <x:c r="K182" s="142"/>
      <x:c r="L182" s="142"/>
    </x:row>
    <x:row r="183" ht="19" customHeight="1">
      <x:c r="A183" s="142"/>
      <x:c r="B183" s="142"/>
      <x:c r="C183" s="142"/>
      <x:c r="D183" s="142"/>
      <x:c r="E183" s="142"/>
      <x:c r="F183" s="220"/>
      <x:c r="G183" s="142"/>
      <x:c r="H183" s="208"/>
      <x:c r="I183" s="208"/>
      <x:c r="J183" s="142"/>
      <x:c r="K183" s="142"/>
      <x:c r="L183" s="142"/>
    </x:row>
    <x:row r="184" ht="19" customHeight="1">
      <x:c r="A184" s="142"/>
      <x:c r="B184" s="142"/>
      <x:c r="C184" s="142"/>
      <x:c r="D184" s="142"/>
      <x:c r="E184" s="142"/>
      <x:c r="F184" s="220"/>
      <x:c r="G184" s="142"/>
      <x:c r="H184" s="208"/>
      <x:c r="I184" s="208"/>
      <x:c r="J184" s="142"/>
      <x:c r="K184" s="142"/>
      <x:c r="L184" s="142"/>
    </x:row>
    <x:row r="185" ht="19" customHeight="1">
      <x:c r="A185" s="142"/>
      <x:c r="B185" s="142"/>
      <x:c r="C185" s="142"/>
      <x:c r="D185" s="142"/>
      <x:c r="E185" s="142"/>
      <x:c r="F185" s="220"/>
      <x:c r="G185" s="142"/>
      <x:c r="H185" s="208"/>
      <x:c r="I185" s="208"/>
      <x:c r="J185" s="142"/>
      <x:c r="K185" s="142"/>
      <x:c r="L185" s="142"/>
    </x:row>
    <x:row r="186" ht="19" customHeight="1">
      <x:c r="A186" s="142"/>
      <x:c r="B186" s="142"/>
      <x:c r="C186" s="142"/>
      <x:c r="D186" s="142"/>
      <x:c r="E186" s="142"/>
      <x:c r="F186" s="220"/>
      <x:c r="G186" s="142"/>
      <x:c r="H186" s="208"/>
      <x:c r="I186" s="208"/>
      <x:c r="J186" s="142"/>
      <x:c r="K186" s="142"/>
      <x:c r="L186" s="142"/>
    </x:row>
    <x:row r="187" ht="19" customHeight="1">
      <x:c r="A187" s="142"/>
      <x:c r="B187" s="142"/>
      <x:c r="C187" s="142"/>
      <x:c r="D187" s="142"/>
      <x:c r="E187" s="142"/>
      <x:c r="F187" s="220"/>
      <x:c r="G187" s="142"/>
      <x:c r="H187" s="208"/>
      <x:c r="I187" s="208"/>
      <x:c r="J187" s="142"/>
      <x:c r="K187" s="142"/>
      <x:c r="L187" s="142"/>
    </x:row>
    <x:row r="188" ht="19" customHeight="1">
      <x:c r="A188" s="142"/>
      <x:c r="B188" s="142"/>
      <x:c r="C188" s="142"/>
      <x:c r="D188" s="142"/>
      <x:c r="E188" s="142"/>
      <x:c r="F188" s="220"/>
      <x:c r="G188" s="142"/>
      <x:c r="H188" s="208"/>
      <x:c r="I188" s="208"/>
      <x:c r="J188" s="142"/>
      <x:c r="K188" s="142"/>
      <x:c r="L188" s="142"/>
    </x:row>
    <x:row r="189" ht="19" customHeight="1">
      <x:c r="A189" s="142"/>
      <x:c r="B189" s="142"/>
      <x:c r="C189" s="142"/>
      <x:c r="D189" s="142"/>
      <x:c r="E189" s="142"/>
      <x:c r="F189" s="220"/>
      <x:c r="G189" s="142"/>
      <x:c r="H189" s="208"/>
      <x:c r="I189" s="208"/>
      <x:c r="J189" s="142"/>
      <x:c r="K189" s="142"/>
      <x:c r="L189" s="142"/>
    </x:row>
    <x:row r="190" ht="19" customHeight="1">
      <x:c r="A190" s="142"/>
      <x:c r="B190" s="142"/>
      <x:c r="C190" s="142"/>
      <x:c r="D190" s="142"/>
      <x:c r="E190" s="142"/>
      <x:c r="F190" s="220"/>
      <x:c r="G190" s="142"/>
      <x:c r="H190" s="208"/>
      <x:c r="I190" s="208"/>
      <x:c r="J190" s="142"/>
      <x:c r="K190" s="142"/>
      <x:c r="L190" s="142"/>
    </x:row>
    <x:row r="191" ht="19" customHeight="1">
      <x:c r="A191" s="142"/>
      <x:c r="B191" s="142"/>
      <x:c r="C191" s="142"/>
      <x:c r="D191" s="142"/>
      <x:c r="E191" s="142"/>
      <x:c r="F191" s="220"/>
      <x:c r="G191" s="142"/>
      <x:c r="H191" s="208"/>
      <x:c r="I191" s="208"/>
      <x:c r="J191" s="142"/>
      <x:c r="K191" s="142"/>
      <x:c r="L191" s="142"/>
    </x:row>
    <x:row r="192" ht="19" customHeight="1">
      <x:c r="A192" s="142"/>
      <x:c r="B192" s="142"/>
      <x:c r="C192" s="142"/>
      <x:c r="D192" s="142"/>
      <x:c r="E192" s="142"/>
      <x:c r="F192" s="220"/>
      <x:c r="G192" s="142"/>
      <x:c r="H192" s="208"/>
      <x:c r="I192" s="208"/>
      <x:c r="J192" s="142"/>
      <x:c r="K192" s="142"/>
      <x:c r="L192" s="142"/>
    </x:row>
    <x:row r="193" ht="19" customHeight="1">
      <x:c r="A193" s="142"/>
      <x:c r="B193" s="142"/>
      <x:c r="C193" s="142"/>
      <x:c r="D193" s="142"/>
      <x:c r="E193" s="142"/>
      <x:c r="F193" s="220"/>
      <x:c r="G193" s="142"/>
      <x:c r="H193" s="208"/>
      <x:c r="I193" s="208"/>
      <x:c r="J193" s="142"/>
      <x:c r="K193" s="142"/>
      <x:c r="L193" s="142"/>
    </x:row>
    <x:row r="194" ht="19" customHeight="1">
      <x:c r="A194" s="142"/>
      <x:c r="B194" s="142"/>
      <x:c r="C194" s="142"/>
      <x:c r="D194" s="142"/>
      <x:c r="E194" s="142"/>
      <x:c r="F194" s="220"/>
      <x:c r="G194" s="142"/>
      <x:c r="H194" s="208"/>
      <x:c r="I194" s="208"/>
      <x:c r="J194" s="142"/>
      <x:c r="K194" s="142"/>
      <x:c r="L194" s="142"/>
    </x:row>
    <x:row r="195" ht="19" customHeight="1">
      <x:c r="A195" s="142"/>
      <x:c r="B195" s="142"/>
      <x:c r="C195" s="142"/>
      <x:c r="D195" s="142"/>
      <x:c r="E195" s="142"/>
      <x:c r="F195" s="220"/>
      <x:c r="G195" s="142"/>
      <x:c r="H195" s="208"/>
      <x:c r="I195" s="208"/>
      <x:c r="J195" s="142"/>
      <x:c r="K195" s="142"/>
      <x:c r="L195" s="142"/>
    </x:row>
    <x:row r="196" ht="19" customHeight="1">
      <x:c r="A196" s="142"/>
      <x:c r="B196" s="142"/>
      <x:c r="C196" s="142"/>
      <x:c r="D196" s="142"/>
      <x:c r="E196" s="142"/>
      <x:c r="F196" s="220"/>
      <x:c r="G196" s="142"/>
      <x:c r="H196" s="208"/>
      <x:c r="I196" s="208"/>
      <x:c r="J196" s="142"/>
      <x:c r="K196" s="142"/>
      <x:c r="L196" s="142"/>
    </x:row>
    <x:row r="197" ht="19" customHeight="1">
      <x:c r="A197" s="142"/>
      <x:c r="B197" s="142"/>
      <x:c r="C197" s="142"/>
      <x:c r="D197" s="142"/>
      <x:c r="E197" s="142"/>
      <x:c r="F197" s="220"/>
      <x:c r="G197" s="142"/>
      <x:c r="H197" s="208"/>
      <x:c r="I197" s="208"/>
      <x:c r="J197" s="142"/>
      <x:c r="K197" s="142"/>
      <x:c r="L197" s="142"/>
    </x:row>
    <x:row r="198" ht="19" customHeight="1">
      <x:c r="A198" s="142"/>
      <x:c r="B198" s="142"/>
      <x:c r="C198" s="142"/>
      <x:c r="D198" s="142"/>
      <x:c r="E198" s="142"/>
      <x:c r="F198" s="220"/>
      <x:c r="G198" s="142"/>
      <x:c r="H198" s="208"/>
      <x:c r="I198" s="208"/>
      <x:c r="J198" s="142"/>
      <x:c r="K198" s="142"/>
      <x:c r="L198" s="142"/>
    </x:row>
    <x:row r="199" ht="19" customHeight="1">
      <x:c r="A199" s="142"/>
      <x:c r="B199" s="142"/>
      <x:c r="C199" s="142"/>
      <x:c r="D199" s="142"/>
      <x:c r="E199" s="142"/>
      <x:c r="F199" s="220"/>
      <x:c r="G199" s="142"/>
      <x:c r="H199" s="208"/>
      <x:c r="I199" s="208"/>
      <x:c r="J199" s="142"/>
      <x:c r="K199" s="142"/>
      <x:c r="L199" s="142"/>
    </x:row>
    <x:row r="200" ht="19" customHeight="1">
      <x:c r="A200" s="142"/>
      <x:c r="B200" s="142"/>
      <x:c r="C200" s="142"/>
      <x:c r="D200" s="142"/>
      <x:c r="E200" s="142"/>
      <x:c r="F200" s="220"/>
      <x:c r="G200" s="142"/>
      <x:c r="H200" s="208"/>
      <x:c r="I200" s="208"/>
      <x:c r="J200" s="142"/>
      <x:c r="K200" s="142"/>
      <x:c r="L200" s="142"/>
    </x:row>
    <x:row r="201" ht="19" customHeight="1">
      <x:c r="A201" s="142"/>
      <x:c r="B201" s="142"/>
      <x:c r="C201" s="142"/>
      <x:c r="D201" s="142"/>
      <x:c r="E201" s="142"/>
      <x:c r="F201" s="220"/>
      <x:c r="G201" s="142"/>
      <x:c r="H201" s="208"/>
      <x:c r="I201" s="208"/>
      <x:c r="J201" s="142"/>
      <x:c r="K201" s="142"/>
      <x:c r="L201" s="142"/>
    </x:row>
    <x:row r="202" ht="19" customHeight="1">
      <x:c r="A202" s="142"/>
      <x:c r="B202" s="142"/>
      <x:c r="C202" s="142"/>
      <x:c r="D202" s="142"/>
      <x:c r="E202" s="142"/>
      <x:c r="F202" s="220"/>
      <x:c r="G202" s="142"/>
      <x:c r="H202" s="208"/>
      <x:c r="I202" s="208"/>
      <x:c r="J202" s="142"/>
      <x:c r="K202" s="142"/>
      <x:c r="L202" s="142"/>
    </x:row>
    <x:row r="203" ht="19" customHeight="1">
      <x:c r="A203" s="142"/>
      <x:c r="B203" s="142"/>
      <x:c r="C203" s="142"/>
      <x:c r="D203" s="142"/>
      <x:c r="E203" s="142"/>
      <x:c r="F203" s="220"/>
      <x:c r="G203" s="142"/>
      <x:c r="H203" s="208"/>
      <x:c r="I203" s="208"/>
      <x:c r="J203" s="142"/>
      <x:c r="K203" s="142"/>
      <x:c r="L203" s="142"/>
    </x:row>
    <x:row r="204" ht="19" customHeight="1">
      <x:c r="A204" s="142"/>
      <x:c r="B204" s="142"/>
      <x:c r="C204" s="142"/>
      <x:c r="D204" s="142"/>
      <x:c r="E204" s="142"/>
      <x:c r="F204" s="220"/>
      <x:c r="G204" s="142"/>
      <x:c r="H204" s="208"/>
      <x:c r="I204" s="208"/>
      <x:c r="J204" s="142"/>
      <x:c r="K204" s="142"/>
      <x:c r="L204" s="142"/>
    </x:row>
    <x:row r="205" ht="19" customHeight="1">
      <x:c r="A205" s="142"/>
      <x:c r="B205" s="142"/>
      <x:c r="C205" s="142"/>
      <x:c r="D205" s="142"/>
      <x:c r="E205" s="142"/>
      <x:c r="F205" s="220"/>
      <x:c r="G205" s="142"/>
      <x:c r="H205" s="208"/>
      <x:c r="I205" s="208"/>
      <x:c r="J205" s="142"/>
      <x:c r="K205" s="142"/>
      <x:c r="L205" s="142"/>
    </x:row>
    <x:row r="206" ht="19" customHeight="1">
      <x:c r="A206" s="142"/>
      <x:c r="B206" s="142"/>
      <x:c r="C206" s="142"/>
      <x:c r="D206" s="142"/>
      <x:c r="E206" s="142"/>
      <x:c r="F206" s="220"/>
      <x:c r="G206" s="142"/>
      <x:c r="H206" s="208"/>
      <x:c r="I206" s="208"/>
      <x:c r="J206" s="142"/>
      <x:c r="K206" s="142"/>
      <x:c r="L206" s="142"/>
    </x:row>
    <x:row r="207" ht="19" customHeight="1">
      <x:c r="A207" s="142"/>
      <x:c r="B207" s="142"/>
      <x:c r="C207" s="142"/>
      <x:c r="D207" s="142"/>
      <x:c r="E207" s="142"/>
      <x:c r="F207" s="220"/>
      <x:c r="G207" s="142"/>
      <x:c r="H207" s="208"/>
      <x:c r="I207" s="208"/>
      <x:c r="J207" s="142"/>
      <x:c r="K207" s="142"/>
      <x:c r="L207" s="142"/>
    </x:row>
    <x:row r="208" ht="19" customHeight="1">
      <x:c r="A208" s="142"/>
      <x:c r="B208" s="142"/>
      <x:c r="C208" s="142"/>
      <x:c r="D208" s="142"/>
      <x:c r="E208" s="142"/>
      <x:c r="F208" s="220"/>
      <x:c r="G208" s="142"/>
      <x:c r="H208" s="208"/>
      <x:c r="I208" s="208"/>
      <x:c r="J208" s="142"/>
      <x:c r="K208" s="142"/>
      <x:c r="L208" s="142"/>
    </x:row>
    <x:row r="209" ht="19" customHeight="1">
      <x:c r="A209" s="142"/>
      <x:c r="B209" s="142"/>
      <x:c r="C209" s="142"/>
      <x:c r="D209" s="142"/>
      <x:c r="E209" s="142"/>
      <x:c r="F209" s="220"/>
      <x:c r="G209" s="142"/>
      <x:c r="H209" s="208"/>
      <x:c r="I209" s="208"/>
      <x:c r="J209" s="142"/>
      <x:c r="K209" s="142"/>
      <x:c r="L209" s="142"/>
    </x:row>
    <x:row r="210" ht="19" customHeight="1">
      <x:c r="A210" s="142"/>
      <x:c r="B210" s="142"/>
      <x:c r="C210" s="142"/>
      <x:c r="D210" s="142"/>
      <x:c r="E210" s="142"/>
      <x:c r="F210" s="220"/>
      <x:c r="G210" s="142"/>
      <x:c r="H210" s="208"/>
      <x:c r="I210" s="208"/>
      <x:c r="J210" s="142"/>
      <x:c r="K210" s="142"/>
      <x:c r="L210" s="142"/>
    </x:row>
    <x:row r="211" ht="19" customHeight="1">
      <x:c r="A211" s="142"/>
      <x:c r="B211" s="142"/>
      <x:c r="C211" s="142"/>
      <x:c r="D211" s="142"/>
      <x:c r="E211" s="142"/>
      <x:c r="F211" s="220"/>
      <x:c r="G211" s="142"/>
      <x:c r="H211" s="208"/>
      <x:c r="I211" s="208"/>
      <x:c r="J211" s="142"/>
      <x:c r="K211" s="142"/>
      <x:c r="L211" s="142"/>
    </x:row>
    <x:row r="212" ht="19" customHeight="1">
      <x:c r="A212" s="142"/>
      <x:c r="B212" s="142"/>
      <x:c r="C212" s="142"/>
      <x:c r="D212" s="142"/>
      <x:c r="E212" s="142"/>
      <x:c r="F212" s="220"/>
      <x:c r="G212" s="142"/>
      <x:c r="H212" s="208"/>
      <x:c r="I212" s="208"/>
      <x:c r="J212" s="142"/>
      <x:c r="K212" s="142"/>
      <x:c r="L212" s="142"/>
    </x:row>
    <x:row r="213" ht="19" customHeight="1">
      <x:c r="A213" s="142"/>
      <x:c r="B213" s="142"/>
      <x:c r="C213" s="142"/>
      <x:c r="D213" s="142"/>
      <x:c r="E213" s="142"/>
      <x:c r="F213" s="220"/>
      <x:c r="G213" s="142"/>
      <x:c r="H213" s="208"/>
      <x:c r="I213" s="208"/>
      <x:c r="J213" s="142"/>
      <x:c r="K213" s="142"/>
      <x:c r="L213" s="142"/>
    </x:row>
    <x:row r="214" ht="19" customHeight="1">
      <x:c r="A214" s="142"/>
      <x:c r="B214" s="142"/>
      <x:c r="C214" s="142"/>
      <x:c r="D214" s="142"/>
      <x:c r="E214" s="142"/>
      <x:c r="F214" s="220"/>
      <x:c r="G214" s="142"/>
      <x:c r="H214" s="208"/>
      <x:c r="I214" s="208"/>
      <x:c r="J214" s="142"/>
      <x:c r="K214" s="142"/>
      <x:c r="L214" s="142"/>
    </x:row>
    <x:row r="215" ht="19" customHeight="1">
      <x:c r="A215" s="142"/>
      <x:c r="B215" s="142"/>
      <x:c r="C215" s="142"/>
      <x:c r="D215" s="142"/>
      <x:c r="E215" s="142"/>
      <x:c r="F215" s="220"/>
      <x:c r="G215" s="142"/>
      <x:c r="H215" s="208"/>
      <x:c r="I215" s="208"/>
      <x:c r="J215" s="142"/>
      <x:c r="K215" s="142"/>
      <x:c r="L215" s="142"/>
    </x:row>
    <x:row r="216" ht="19" customHeight="1">
      <x:c r="A216" s="142"/>
      <x:c r="B216" s="142"/>
      <x:c r="C216" s="142"/>
      <x:c r="D216" s="142"/>
      <x:c r="E216" s="142"/>
      <x:c r="F216" s="220"/>
      <x:c r="G216" s="142"/>
      <x:c r="H216" s="208"/>
      <x:c r="I216" s="208"/>
      <x:c r="J216" s="142"/>
      <x:c r="K216" s="142"/>
      <x:c r="L216" s="142"/>
    </x:row>
    <x:row r="217" ht="19" customHeight="1">
      <x:c r="A217" s="142"/>
      <x:c r="B217" s="142"/>
      <x:c r="C217" s="142"/>
      <x:c r="D217" s="142"/>
      <x:c r="E217" s="142"/>
      <x:c r="F217" s="220"/>
      <x:c r="G217" s="142"/>
      <x:c r="H217" s="208"/>
      <x:c r="I217" s="208"/>
      <x:c r="J217" s="142"/>
      <x:c r="K217" s="142"/>
      <x:c r="L217" s="142"/>
    </x:row>
    <x:row r="218" ht="19" customHeight="1">
      <x:c r="A218" s="142"/>
      <x:c r="B218" s="142"/>
      <x:c r="C218" s="142"/>
      <x:c r="D218" s="142"/>
      <x:c r="E218" s="142"/>
      <x:c r="F218" s="220"/>
      <x:c r="G218" s="142"/>
      <x:c r="H218" s="208"/>
      <x:c r="I218" s="208"/>
      <x:c r="J218" s="142"/>
      <x:c r="K218" s="142"/>
      <x:c r="L218" s="142"/>
    </x:row>
    <x:row r="219" ht="19" customHeight="1">
      <x:c r="A219" s="142"/>
      <x:c r="B219" s="142"/>
      <x:c r="C219" s="142"/>
      <x:c r="D219" s="142"/>
      <x:c r="E219" s="142"/>
      <x:c r="F219" s="220"/>
      <x:c r="G219" s="142"/>
      <x:c r="H219" s="208"/>
      <x:c r="I219" s="208"/>
      <x:c r="J219" s="142"/>
      <x:c r="K219" s="142"/>
      <x:c r="L219" s="142"/>
    </x:row>
    <x:row r="220" ht="19" customHeight="1">
      <x:c r="A220" s="142"/>
      <x:c r="B220" s="142"/>
      <x:c r="C220" s="142"/>
      <x:c r="D220" s="142"/>
      <x:c r="E220" s="142"/>
      <x:c r="F220" s="220"/>
      <x:c r="G220" s="142"/>
      <x:c r="H220" s="208"/>
      <x:c r="I220" s="208"/>
      <x:c r="J220" s="142"/>
      <x:c r="K220" s="142"/>
      <x:c r="L220" s="142"/>
    </x:row>
    <x:row r="221" ht="19" customHeight="1">
      <x:c r="A221" s="142"/>
      <x:c r="B221" s="142"/>
      <x:c r="C221" s="142"/>
      <x:c r="D221" s="142"/>
      <x:c r="E221" s="142"/>
      <x:c r="F221" s="220"/>
      <x:c r="G221" s="142"/>
      <x:c r="H221" s="208"/>
      <x:c r="I221" s="208"/>
      <x:c r="J221" s="142"/>
      <x:c r="K221" s="142"/>
      <x:c r="L221" s="142"/>
    </x:row>
    <x:row r="222" ht="19" customHeight="1">
      <x:c r="A222" s="142"/>
      <x:c r="B222" s="142"/>
      <x:c r="C222" s="142"/>
      <x:c r="D222" s="142"/>
      <x:c r="E222" s="142"/>
      <x:c r="F222" s="220"/>
      <x:c r="G222" s="142"/>
      <x:c r="H222" s="208"/>
      <x:c r="I222" s="208"/>
      <x:c r="J222" s="142"/>
      <x:c r="K222" s="142"/>
      <x:c r="L222" s="142"/>
    </x:row>
    <x:row r="223" ht="19" customHeight="1">
      <x:c r="A223" s="142"/>
      <x:c r="B223" s="142"/>
      <x:c r="C223" s="142"/>
      <x:c r="D223" s="142"/>
      <x:c r="E223" s="142"/>
      <x:c r="F223" s="220"/>
      <x:c r="G223" s="142"/>
      <x:c r="H223" s="208"/>
      <x:c r="I223" s="208"/>
      <x:c r="J223" s="142"/>
      <x:c r="K223" s="142"/>
      <x:c r="L223" s="142"/>
    </x:row>
    <x:row r="224" ht="19" customHeight="1">
      <x:c r="A224" s="142"/>
      <x:c r="B224" s="142"/>
      <x:c r="C224" s="142"/>
      <x:c r="D224" s="142"/>
      <x:c r="E224" s="142"/>
      <x:c r="F224" s="220"/>
      <x:c r="G224" s="142"/>
      <x:c r="H224" s="208"/>
      <x:c r="I224" s="208"/>
      <x:c r="J224" s="142"/>
      <x:c r="K224" s="142"/>
      <x:c r="L224" s="142"/>
    </x:row>
    <x:row r="225" ht="19" customHeight="1">
      <x:c r="A225" s="142"/>
      <x:c r="B225" s="142"/>
      <x:c r="C225" s="142"/>
      <x:c r="D225" s="142"/>
      <x:c r="E225" s="142"/>
      <x:c r="F225" s="220"/>
      <x:c r="G225" s="142"/>
      <x:c r="H225" s="208"/>
      <x:c r="I225" s="208"/>
      <x:c r="J225" s="142"/>
      <x:c r="K225" s="142"/>
      <x:c r="L225" s="142"/>
    </x:row>
    <x:row r="226" ht="19" customHeight="1">
      <x:c r="A226" s="142"/>
      <x:c r="B226" s="142"/>
      <x:c r="C226" s="142"/>
      <x:c r="D226" s="142"/>
      <x:c r="E226" s="142"/>
      <x:c r="F226" s="220"/>
      <x:c r="G226" s="142"/>
      <x:c r="H226" s="208"/>
      <x:c r="I226" s="208"/>
      <x:c r="J226" s="142"/>
      <x:c r="K226" s="142"/>
      <x:c r="L226" s="142"/>
    </x:row>
    <x:row r="227" ht="19" customHeight="1">
      <x:c r="A227" s="142"/>
      <x:c r="B227" s="142"/>
      <x:c r="C227" s="142"/>
      <x:c r="D227" s="142"/>
      <x:c r="E227" s="142"/>
      <x:c r="F227" s="220"/>
      <x:c r="G227" s="142"/>
      <x:c r="H227" s="208"/>
      <x:c r="I227" s="208"/>
      <x:c r="J227" s="142"/>
      <x:c r="K227" s="142"/>
      <x:c r="L227" s="142"/>
    </x:row>
    <x:row r="228" ht="19" customHeight="1">
      <x:c r="A228" s="142"/>
      <x:c r="B228" s="142"/>
      <x:c r="C228" s="142"/>
      <x:c r="D228" s="142"/>
      <x:c r="E228" s="142"/>
      <x:c r="F228" s="220"/>
      <x:c r="G228" s="142"/>
      <x:c r="H228" s="208"/>
      <x:c r="I228" s="208"/>
      <x:c r="J228" s="142"/>
      <x:c r="K228" s="142"/>
      <x:c r="L228" s="142"/>
    </x:row>
    <x:row r="229" ht="19" customHeight="1">
      <x:c r="A229" s="142"/>
      <x:c r="B229" s="142"/>
      <x:c r="C229" s="142"/>
      <x:c r="D229" s="142"/>
      <x:c r="E229" s="142"/>
      <x:c r="F229" s="220"/>
      <x:c r="G229" s="142"/>
      <x:c r="H229" s="208"/>
      <x:c r="I229" s="208"/>
      <x:c r="J229" s="142"/>
      <x:c r="K229" s="142"/>
      <x:c r="L229" s="142"/>
    </x:row>
    <x:row r="230" ht="19" customHeight="1">
      <x:c r="A230" s="142"/>
      <x:c r="B230" s="142"/>
      <x:c r="C230" s="142"/>
      <x:c r="D230" s="142"/>
      <x:c r="E230" s="142"/>
      <x:c r="F230" s="220"/>
      <x:c r="G230" s="142"/>
      <x:c r="H230" s="208"/>
      <x:c r="I230" s="208"/>
      <x:c r="J230" s="142"/>
      <x:c r="K230" s="142"/>
      <x:c r="L230" s="142"/>
    </x:row>
    <x:row r="231" ht="19" customHeight="1">
      <x:c r="A231" s="142"/>
      <x:c r="B231" s="142"/>
      <x:c r="C231" s="142"/>
      <x:c r="D231" s="142"/>
      <x:c r="E231" s="142"/>
      <x:c r="F231" s="220"/>
      <x:c r="G231" s="142"/>
      <x:c r="H231" s="208"/>
      <x:c r="I231" s="208"/>
      <x:c r="J231" s="142"/>
      <x:c r="K231" s="142"/>
      <x:c r="L231" s="142"/>
    </x:row>
    <x:row r="232" ht="19" customHeight="1">
      <x:c r="A232" s="142"/>
      <x:c r="B232" s="142"/>
      <x:c r="C232" s="142"/>
      <x:c r="D232" s="142"/>
      <x:c r="E232" s="142"/>
      <x:c r="F232" s="220"/>
      <x:c r="G232" s="142"/>
      <x:c r="H232" s="208"/>
      <x:c r="I232" s="208"/>
      <x:c r="J232" s="142"/>
      <x:c r="K232" s="142"/>
      <x:c r="L232" s="142"/>
    </x:row>
    <x:row r="233" ht="19" customHeight="1">
      <x:c r="A233" s="142"/>
      <x:c r="B233" s="142"/>
      <x:c r="C233" s="142"/>
      <x:c r="D233" s="142"/>
      <x:c r="E233" s="142"/>
      <x:c r="F233" s="220"/>
      <x:c r="G233" s="142"/>
      <x:c r="H233" s="208"/>
      <x:c r="I233" s="208"/>
      <x:c r="J233" s="142"/>
      <x:c r="K233" s="142"/>
      <x:c r="L233" s="142"/>
    </x:row>
    <x:row r="234" ht="19" customHeight="1">
      <x:c r="A234" s="142"/>
      <x:c r="B234" s="142"/>
      <x:c r="C234" s="142"/>
      <x:c r="D234" s="142"/>
      <x:c r="E234" s="142"/>
      <x:c r="F234" s="220"/>
      <x:c r="G234" s="142"/>
      <x:c r="H234" s="208"/>
      <x:c r="I234" s="208"/>
      <x:c r="J234" s="142"/>
      <x:c r="K234" s="142"/>
      <x:c r="L234" s="142"/>
    </x:row>
    <x:row r="235" ht="19" customHeight="1">
      <x:c r="A235" s="142"/>
      <x:c r="B235" s="142"/>
      <x:c r="C235" s="142"/>
      <x:c r="D235" s="142"/>
      <x:c r="E235" s="142"/>
      <x:c r="F235" s="220"/>
      <x:c r="G235" s="142"/>
      <x:c r="H235" s="208"/>
      <x:c r="I235" s="208"/>
      <x:c r="J235" s="142"/>
      <x:c r="K235" s="142"/>
      <x:c r="L235" s="142"/>
    </x:row>
    <x:row r="236" ht="19" customHeight="1">
      <x:c r="A236" s="142"/>
      <x:c r="B236" s="142"/>
      <x:c r="C236" s="142"/>
      <x:c r="D236" s="142"/>
      <x:c r="E236" s="142"/>
      <x:c r="F236" s="220"/>
      <x:c r="G236" s="142"/>
      <x:c r="H236" s="208"/>
      <x:c r="I236" s="208"/>
      <x:c r="J236" s="142"/>
      <x:c r="K236" s="142"/>
      <x:c r="L236" s="142"/>
    </x:row>
    <x:row r="237" ht="19" customHeight="1">
      <x:c r="A237" s="142"/>
      <x:c r="B237" s="142"/>
      <x:c r="C237" s="142"/>
      <x:c r="D237" s="142"/>
      <x:c r="E237" s="142"/>
      <x:c r="F237" s="220"/>
      <x:c r="G237" s="142"/>
      <x:c r="H237" s="208"/>
      <x:c r="I237" s="208"/>
      <x:c r="J237" s="142"/>
      <x:c r="K237" s="142"/>
      <x:c r="L237" s="142"/>
    </x:row>
    <x:row r="238" ht="19" customHeight="1">
      <x:c r="A238" s="142"/>
      <x:c r="B238" s="142"/>
      <x:c r="C238" s="142"/>
      <x:c r="D238" s="142"/>
      <x:c r="E238" s="142"/>
      <x:c r="F238" s="220"/>
      <x:c r="G238" s="142"/>
      <x:c r="H238" s="208"/>
      <x:c r="I238" s="208"/>
      <x:c r="J238" s="142"/>
      <x:c r="K238" s="142"/>
      <x:c r="L238" s="142"/>
    </x:row>
    <x:row r="239" ht="19" customHeight="1">
      <x:c r="A239" s="142"/>
      <x:c r="B239" s="142"/>
      <x:c r="C239" s="142"/>
      <x:c r="D239" s="142"/>
      <x:c r="E239" s="142"/>
      <x:c r="F239" s="220"/>
      <x:c r="G239" s="142"/>
      <x:c r="H239" s="208"/>
      <x:c r="I239" s="208"/>
      <x:c r="J239" s="142"/>
      <x:c r="K239" s="142"/>
      <x:c r="L239" s="142"/>
    </x:row>
    <x:row r="240" ht="19" customHeight="1">
      <x:c r="A240" s="142"/>
      <x:c r="B240" s="142"/>
      <x:c r="C240" s="142"/>
      <x:c r="D240" s="142"/>
      <x:c r="E240" s="142"/>
      <x:c r="F240" s="220"/>
      <x:c r="G240" s="142"/>
      <x:c r="H240" s="208"/>
      <x:c r="I240" s="208"/>
      <x:c r="J240" s="142"/>
      <x:c r="K240" s="142"/>
      <x:c r="L240" s="142"/>
    </x:row>
    <x:row r="241" ht="19" customHeight="1">
      <x:c r="A241" s="142"/>
      <x:c r="B241" s="142"/>
      <x:c r="C241" s="142"/>
      <x:c r="D241" s="142"/>
      <x:c r="E241" s="142"/>
      <x:c r="F241" s="220"/>
      <x:c r="G241" s="142"/>
      <x:c r="H241" s="208"/>
      <x:c r="I241" s="208"/>
      <x:c r="J241" s="142"/>
      <x:c r="K241" s="142"/>
      <x:c r="L241" s="142"/>
    </x:row>
    <x:row r="242" ht="19" customHeight="1">
      <x:c r="A242" s="142"/>
      <x:c r="B242" s="142"/>
      <x:c r="C242" s="142"/>
      <x:c r="D242" s="142"/>
      <x:c r="E242" s="142"/>
      <x:c r="F242" s="220"/>
      <x:c r="G242" s="142"/>
      <x:c r="H242" s="208"/>
      <x:c r="I242" s="208"/>
      <x:c r="J242" s="142"/>
      <x:c r="K242" s="142"/>
      <x:c r="L242" s="142"/>
    </x:row>
    <x:row r="243" ht="19" customHeight="1">
      <x:c r="A243" s="142"/>
      <x:c r="B243" s="142"/>
      <x:c r="C243" s="142"/>
      <x:c r="D243" s="142"/>
      <x:c r="E243" s="142"/>
      <x:c r="F243" s="220"/>
      <x:c r="G243" s="142"/>
      <x:c r="H243" s="208"/>
      <x:c r="I243" s="208"/>
      <x:c r="J243" s="142"/>
      <x:c r="K243" s="142"/>
      <x:c r="L243" s="142"/>
    </x:row>
    <x:row r="244" ht="19" customHeight="1">
      <x:c r="A244" s="142"/>
      <x:c r="B244" s="142"/>
      <x:c r="C244" s="142"/>
      <x:c r="D244" s="142"/>
      <x:c r="E244" s="142"/>
      <x:c r="F244" s="220"/>
      <x:c r="G244" s="142"/>
      <x:c r="H244" s="208"/>
      <x:c r="I244" s="208"/>
      <x:c r="J244" s="142"/>
      <x:c r="K244" s="142"/>
      <x:c r="L244" s="142"/>
    </x:row>
    <x:row r="245" ht="19" customHeight="1">
      <x:c r="A245" s="142"/>
      <x:c r="B245" s="142"/>
      <x:c r="C245" s="142"/>
      <x:c r="D245" s="142"/>
      <x:c r="E245" s="142"/>
      <x:c r="F245" s="220"/>
      <x:c r="G245" s="142"/>
      <x:c r="H245" s="208"/>
      <x:c r="I245" s="208"/>
      <x:c r="J245" s="142"/>
      <x:c r="K245" s="142"/>
      <x:c r="L245" s="142"/>
    </x:row>
    <x:row r="246" ht="19" customHeight="1">
      <x:c r="A246" s="142"/>
      <x:c r="B246" s="142"/>
      <x:c r="C246" s="142"/>
      <x:c r="D246" s="142"/>
      <x:c r="E246" s="142"/>
      <x:c r="F246" s="220"/>
      <x:c r="G246" s="142"/>
      <x:c r="H246" s="208"/>
      <x:c r="I246" s="208"/>
      <x:c r="J246" s="142"/>
      <x:c r="K246" s="142"/>
      <x:c r="L246" s="142"/>
    </x:row>
    <x:row r="247" ht="19" customHeight="1">
      <x:c r="A247" s="142"/>
      <x:c r="B247" s="142"/>
      <x:c r="C247" s="142"/>
      <x:c r="D247" s="142"/>
      <x:c r="E247" s="142"/>
      <x:c r="F247" s="220"/>
      <x:c r="G247" s="142"/>
      <x:c r="H247" s="208"/>
      <x:c r="I247" s="208"/>
      <x:c r="J247" s="142"/>
      <x:c r="K247" s="142"/>
      <x:c r="L247" s="142"/>
    </x:row>
    <x:row r="248" ht="19" customHeight="1">
      <x:c r="A248" s="142"/>
      <x:c r="B248" s="142"/>
      <x:c r="C248" s="142"/>
      <x:c r="D248" s="142"/>
      <x:c r="E248" s="142"/>
      <x:c r="F248" s="220"/>
      <x:c r="G248" s="142"/>
      <x:c r="H248" s="208"/>
      <x:c r="I248" s="208"/>
      <x:c r="J248" s="142"/>
      <x:c r="K248" s="142"/>
      <x:c r="L248" s="142"/>
    </x:row>
    <x:row r="249" ht="19" customHeight="1">
      <x:c r="A249" s="142"/>
      <x:c r="B249" s="142"/>
      <x:c r="C249" s="142"/>
      <x:c r="D249" s="142"/>
      <x:c r="E249" s="142"/>
      <x:c r="F249" s="220"/>
      <x:c r="G249" s="142"/>
      <x:c r="H249" s="208"/>
      <x:c r="I249" s="208"/>
      <x:c r="J249" s="142"/>
      <x:c r="K249" s="142"/>
      <x:c r="L249" s="142"/>
    </x:row>
    <x:row r="250" ht="19" customHeight="1">
      <x:c r="A250" s="142"/>
      <x:c r="B250" s="142"/>
      <x:c r="C250" s="142"/>
      <x:c r="D250" s="142"/>
      <x:c r="E250" s="142"/>
      <x:c r="F250" s="220"/>
      <x:c r="G250" s="142"/>
      <x:c r="H250" s="208"/>
      <x:c r="I250" s="208"/>
      <x:c r="J250" s="142"/>
      <x:c r="K250" s="142"/>
      <x:c r="L250" s="142"/>
    </x:row>
    <x:row r="251" ht="19" customHeight="1">
      <x:c r="A251" s="142"/>
      <x:c r="B251" s="142"/>
      <x:c r="C251" s="142"/>
      <x:c r="D251" s="142"/>
      <x:c r="E251" s="142"/>
      <x:c r="F251" s="220"/>
      <x:c r="G251" s="142"/>
      <x:c r="H251" s="208"/>
      <x:c r="I251" s="208"/>
      <x:c r="J251" s="142"/>
      <x:c r="K251" s="142"/>
      <x:c r="L251" s="142"/>
    </x:row>
    <x:row r="252" ht="19" customHeight="1">
      <x:c r="A252" s="142"/>
      <x:c r="B252" s="142"/>
      <x:c r="C252" s="142"/>
      <x:c r="D252" s="142"/>
      <x:c r="E252" s="142"/>
      <x:c r="F252" s="220"/>
      <x:c r="G252" s="142"/>
      <x:c r="H252" s="208"/>
      <x:c r="I252" s="208"/>
      <x:c r="J252" s="142"/>
      <x:c r="K252" s="142"/>
      <x:c r="L252" s="142"/>
    </x:row>
    <x:row r="253" ht="19" customHeight="1">
      <x:c r="A253" s="142"/>
      <x:c r="B253" s="142"/>
      <x:c r="C253" s="142"/>
      <x:c r="D253" s="142"/>
      <x:c r="E253" s="142"/>
      <x:c r="F253" s="220"/>
      <x:c r="G253" s="142"/>
      <x:c r="H253" s="208"/>
      <x:c r="I253" s="208"/>
      <x:c r="J253" s="142"/>
      <x:c r="K253" s="142"/>
      <x:c r="L253" s="142"/>
    </x:row>
    <x:row r="254" ht="19" customHeight="1">
      <x:c r="A254" s="143"/>
      <x:c r="B254" s="143"/>
      <x:c r="C254" s="143"/>
      <x:c r="D254" s="143"/>
      <x:c r="E254" s="143"/>
      <x:c r="F254" s="221"/>
      <x:c r="G254" s="143"/>
      <x:c r="H254" s="209"/>
      <x:c r="I254" s="209"/>
      <x:c r="J254" s="143"/>
      <x:c r="K254" s="143"/>
      <x:c r="L254" s="143"/>
    </x:row>
  </x:sheetData>
  <x:mergeCells>
    <x:mergeCell ref="A1:L1"/>
    <x:mergeCell ref="A2:L2"/>
  </x:mergeCells>
  <x:dataValidations count="2">
    <x:dataValidation type="list" sqref="E5:E254">
      <x:formula1>"Autor/Compositor,Editor,Subeditor,Versionista,Adaptador,Tradutor,Outro"</x:formula1>
    </x:dataValidation>
    <x:dataValidation type="list" sqref="K5:K254">
      <x:formula1>"Pendente,Em validação,Liberado,Duplicidade,Bloqueado,Pendente de documentação"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60874a103f4c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5" hidden="0" customWidth="1"/>
    <x:col min="4" max="4" width="34" hidden="0" customWidth="1"/>
    <x:col min="5" max="5" width="20" hidden="0" customWidth="1"/>
    <x:col min="6" max="6" width="15" hidden="0" customWidth="1"/>
    <x:col min="7" max="7" width="32" hidden="0" customWidth="1"/>
    <x:col min="8" max="8" width="28" hidden="0" customWidth="1"/>
    <x:col min="9" max="9" width="22" hidden="0" customWidth="1"/>
    <x:col min="10" max="10" width="16" hidden="0" customWidth="1"/>
    <x:col min="11" max="11" width="18" hidden="0" customWidth="1"/>
    <x:col min="12" max="12" width="19" hidden="0" customWidth="1"/>
    <x:col min="13" max="13" width="17" hidden="0" customWidth="1"/>
    <x:col min="14" max="14" width="18" hidden="0" customWidth="1"/>
    <x:col min="15" max="15" width="16" hidden="0" customWidth="1"/>
    <x:col min="16" max="16" width="26" hidden="0" customWidth="1"/>
    <x:col min="17" max="17" width="20" hidden="0" customWidth="1"/>
    <x:col min="18" max="18" width="30" hidden="0" customWidth="1"/>
    <x:col min="19" max="19" width="26" hidden="0" customWidth="1"/>
    <x:col min="20" max="20" width="26" hidden="0" customWidth="1"/>
    <x:col min="21" max="21" width="28" hidden="0" customWidth="1"/>
    <x:col min="22" max="22" width="18" hidden="0" customWidth="1"/>
    <x:col min="23" max="23" width="20" hidden="0" customWidth="1"/>
    <x:col min="24" max="24" width="16" hidden="0" customWidth="1"/>
    <x:col min="25" max="25" width="16" hidden="0" customWidth="1"/>
    <x:col min="26" max="26" width="20" hidden="0" customWidth="1"/>
    <x:col min="27" max="27" width="19" hidden="0" customWidth="1"/>
    <x:col min="28" max="28" width="18" hidden="0" customWidth="1"/>
    <x:col min="29" max="29" width="20" hidden="0" customWidth="1"/>
    <x:col min="30" max="30" width="18" hidden="0" customWidth="1"/>
    <x:col min="31" max="31" width="18" hidden="0" customWidth="1"/>
    <x:col min="32" max="32" width="34" hidden="0" customWidth="1"/>
    <x:col min="33" max="33" width="34" hidden="0" customWidth="1"/>
  </x:cols>
  <x:sheetData>
    <x:row r="1" ht="28" customHeight="1">
      <x:c r="A1" s="5" t="str">
        <x:v>FONOGRAMAS — CATÁLOGO MASTER E PRONTIDÃO RDx</x:v>
      </x:c>
    </x:row>
    <x:row r="2" ht="32" customHeight="1">
      <x:c r="A2" s="14" t="str">
        <x:v>Um ISRC por gravação. As colunas azuis verificam se os metadados mínimos e as participações conexas estão completos.</x:v>
      </x:c>
    </x:row>
    <x:row r="4" ht="34" customHeight="1">
      <x:c r="A4" s="56" t="str">
        <x:v>ID Fonograma</x:v>
      </x:c>
      <x:c r="B4" s="56" t="str">
        <x:v>ISRC</x:v>
      </x:c>
      <x:c r="C4" s="56" t="str">
        <x:v>GRA</x:v>
      </x:c>
      <x:c r="D4" s="56" t="str">
        <x:v>Título do Fonograma</x:v>
      </x:c>
      <x:c r="E4" s="56" t="str">
        <x:v>Versão</x:v>
      </x:c>
      <x:c r="F4" s="56" t="str">
        <x:v>ID Obra Principal</x:v>
      </x:c>
      <x:c r="G4" s="56" t="str">
        <x:v>Título da Obra</x:v>
      </x:c>
      <x:c r="H4" s="56" t="str">
        <x:v>Artista Principal</x:v>
      </x:c>
      <x:c r="I4" s="56" t="str">
        <x:v>Coletivo / Banda</x:v>
      </x:c>
      <x:c r="J4" s="56" t="str">
        <x:v>País de Origem</x:v>
      </x:c>
      <x:c r="K4" s="56" t="str">
        <x:v>País de Publicação</x:v>
      </x:c>
      <x:c r="L4" s="56" t="str">
        <x:v>Nacional / Estrangeiro</x:v>
      </x:c>
      <x:c r="M4" s="56" t="str">
        <x:v>Data de Gravação</x:v>
      </x:c>
      <x:c r="N4" s="56" t="str">
        <x:v>Data de Lançamento</x:v>
      </x:c>
      <x:c r="O4" s="56" t="str">
        <x:v>UPC/EAN</x:v>
      </x:c>
      <x:c r="P4" s="56" t="str">
        <x:v>Release</x:v>
      </x:c>
      <x:c r="Q4" s="56" t="str">
        <x:v>Selo / Label</x:v>
      </x:c>
      <x:c r="R4" s="56" t="str">
        <x:v>Produtor Fonográfico Original</x:v>
      </x:c>
      <x:c r="S4" s="56" t="str">
        <x:v>Produtor Licenciado</x:v>
      </x:c>
      <x:c r="T4" s="56" t="str">
        <x:v>Produtor Licenciante</x:v>
      </x:c>
      <x:c r="U4" s="56" t="str">
        <x:v>Titular do Master</x:v>
      </x:c>
      <x:c r="V4" s="56" t="str">
        <x:v>% Master Controlado pela Thuim</x:v>
      </x:c>
      <x:c r="W4" s="56" t="str">
        <x:v>Território</x:v>
      </x:c>
      <x:c r="X4" s="56" t="str">
        <x:v>Início de Vigência</x:v>
      </x:c>
      <x:c r="Y4" s="56" t="str">
        <x:v>Fim de Vigência</x:v>
      </x:c>
      <x:c r="Z4" s="56" t="str">
        <x:v>Distribuidora</x:v>
      </x:c>
      <x:c r="AA4" s="56" t="str">
        <x:v>Situação RDx</x:v>
      </x:c>
      <x:c r="AB4" s="56" t="str">
        <x:v>Completude RDx</x:v>
      </x:c>
      <x:c r="AC4" s="56" t="str">
        <x:v>Total Participações Conexas</x:v>
      </x:c>
      <x:c r="AD4" s="56" t="str">
        <x:v>Validação Conexos</x:v>
      </x:c>
      <x:c r="AE4" s="56" t="str">
        <x:v>Status Ecad</x:v>
      </x:c>
      <x:c r="AF4" s="56" t="str">
        <x:v>Link Material / Contrato</x:v>
      </x:c>
      <x:c r="AG4" s="56" t="str">
        <x:v>Observações</x:v>
      </x:c>
    </x:row>
    <x:row r="5" ht="19" customHeight="1">
      <x:c r="A5" s="141"/>
      <x:c r="B5" s="141"/>
      <x:c r="C5" s="141"/>
      <x:c r="D5" s="141"/>
      <x:c r="E5" s="141"/>
      <x:c r="F5" s="141"/>
      <x:c r="G5" s="141"/>
      <x:c r="H5" s="141"/>
      <x:c r="I5" s="141"/>
      <x:c r="J5" s="141"/>
      <x:c r="K5" s="141"/>
      <x:c r="L5" s="141"/>
      <x:c r="M5" s="207"/>
      <x:c r="N5" s="207"/>
      <x:c r="O5" s="141"/>
      <x:c r="P5" s="141"/>
      <x:c r="Q5" s="141"/>
      <x:c r="R5" s="141"/>
      <x:c r="S5" s="141"/>
      <x:c r="T5" s="141"/>
      <x:c r="U5" s="141"/>
      <x:c r="V5" s="219"/>
      <x:c r="W5" s="141"/>
      <x:c r="X5" s="207"/>
      <x:c r="Y5" s="207"/>
      <x:c r="Z5" s="141"/>
      <x:c r="AA5" s="141"/>
      <x:c r="AB5" s="201" t="str">
        <x:f>IF(A5="","",IF(AND(B5&lt;&gt;"",D5&lt;&gt;"",F5&lt;&gt;"",H5&lt;&gt;"",M5&lt;&gt;"",N5&lt;&gt;"",Q5&lt;&gt;"",R5&lt;&gt;"",U5&lt;&gt;"",V5&lt;&gt;"",W5&lt;&gt;""),"PRONTO","PENDENTE"))</x:f>
      </x:c>
      <x:c r="AC5" s="213" t="str">
        <x:f>IF(A5="","",SUMIF('PARTICIPAÇÕES FONOGRAMA'!$A$5:$A$254,A5,'PARTICIPAÇÕES FONOGRAMA'!$I$5:$I$254))</x:f>
      </x:c>
      <x:c r="AD5" s="201" t="str">
        <x:f>IF(A5="","",IF(AC5=1,"OK 100%","CONFERIR"))</x:f>
      </x:c>
      <x:c r="AE5" s="141"/>
      <x:c r="AF5" s="141"/>
      <x:c r="AG5" s="141"/>
    </x:row>
    <x:row r="6" ht="19" customHeight="1">
      <x:c r="A6" s="142"/>
      <x:c r="B6" s="142"/>
      <x:c r="C6" s="142"/>
      <x:c r="D6" s="142"/>
      <x:c r="E6" s="142"/>
      <x:c r="F6" s="142"/>
      <x:c r="G6" s="142"/>
      <x:c r="H6" s="142"/>
      <x:c r="I6" s="142"/>
      <x:c r="J6" s="142"/>
      <x:c r="K6" s="142"/>
      <x:c r="L6" s="142"/>
      <x:c r="M6" s="208"/>
      <x:c r="N6" s="208"/>
      <x:c r="O6" s="142"/>
      <x:c r="P6" s="142"/>
      <x:c r="Q6" s="142"/>
      <x:c r="R6" s="142"/>
      <x:c r="S6" s="142"/>
      <x:c r="T6" s="142"/>
      <x:c r="U6" s="142"/>
      <x:c r="V6" s="220"/>
      <x:c r="W6" s="142"/>
      <x:c r="X6" s="208"/>
      <x:c r="Y6" s="208"/>
      <x:c r="Z6" s="142"/>
      <x:c r="AA6" s="142"/>
      <x:c r="AB6" s="202" t="str">
        <x:f>IF(A6="","",IF(AND(B6&lt;&gt;"",D6&lt;&gt;"",F6&lt;&gt;"",H6&lt;&gt;"",M6&lt;&gt;"",N6&lt;&gt;"",Q6&lt;&gt;"",R6&lt;&gt;"",U6&lt;&gt;"",V6&lt;&gt;"",W6&lt;&gt;""),"PRONTO","PENDENTE"))</x:f>
      </x:c>
      <x:c r="AC6" s="214" t="str">
        <x:f>IF(A6="","",SUMIF('PARTICIPAÇÕES FONOGRAMA'!$A$5:$A$254,A6,'PARTICIPAÇÕES FONOGRAMA'!$I$5:$I$254))</x:f>
      </x:c>
      <x:c r="AD6" s="202" t="str">
        <x:f>IF(A6="","",IF(AC6=1,"OK 100%","CONFERIR"))</x:f>
      </x:c>
      <x:c r="AE6" s="142"/>
      <x:c r="AF6" s="142"/>
      <x:c r="AG6" s="142"/>
    </x:row>
    <x:row r="7" ht="19" customHeight="1">
      <x:c r="A7" s="142"/>
      <x:c r="B7" s="142"/>
      <x:c r="C7" s="142"/>
      <x:c r="D7" s="142"/>
      <x:c r="E7" s="142"/>
      <x:c r="F7" s="142"/>
      <x:c r="G7" s="142"/>
      <x:c r="H7" s="142"/>
      <x:c r="I7" s="142"/>
      <x:c r="J7" s="142"/>
      <x:c r="K7" s="142"/>
      <x:c r="L7" s="142"/>
      <x:c r="M7" s="208"/>
      <x:c r="N7" s="208"/>
      <x:c r="O7" s="142"/>
      <x:c r="P7" s="142"/>
      <x:c r="Q7" s="142"/>
      <x:c r="R7" s="142"/>
      <x:c r="S7" s="142"/>
      <x:c r="T7" s="142"/>
      <x:c r="U7" s="142"/>
      <x:c r="V7" s="220"/>
      <x:c r="W7" s="142"/>
      <x:c r="X7" s="208"/>
      <x:c r="Y7" s="208"/>
      <x:c r="Z7" s="142"/>
      <x:c r="AA7" s="142"/>
      <x:c r="AB7" s="202" t="str">
        <x:f>IF(A7="","",IF(AND(B7&lt;&gt;"",D7&lt;&gt;"",F7&lt;&gt;"",H7&lt;&gt;"",M7&lt;&gt;"",N7&lt;&gt;"",Q7&lt;&gt;"",R7&lt;&gt;"",U7&lt;&gt;"",V7&lt;&gt;"",W7&lt;&gt;""),"PRONTO","PENDENTE"))</x:f>
      </x:c>
      <x:c r="AC7" s="214" t="str">
        <x:f>IF(A7="","",SUMIF('PARTICIPAÇÕES FONOGRAMA'!$A$5:$A$254,A7,'PARTICIPAÇÕES FONOGRAMA'!$I$5:$I$254))</x:f>
      </x:c>
      <x:c r="AD7" s="202" t="str">
        <x:f>IF(A7="","",IF(AC7=1,"OK 100%","CONFERIR"))</x:f>
      </x:c>
      <x:c r="AE7" s="142"/>
      <x:c r="AF7" s="142"/>
      <x:c r="AG7" s="142"/>
    </x:row>
    <x:row r="8" ht="19" customHeight="1">
      <x:c r="A8" s="142"/>
      <x:c r="B8" s="142"/>
      <x:c r="C8" s="142"/>
      <x:c r="D8" s="142"/>
      <x:c r="E8" s="142"/>
      <x:c r="F8" s="142"/>
      <x:c r="G8" s="142"/>
      <x:c r="H8" s="142"/>
      <x:c r="I8" s="142"/>
      <x:c r="J8" s="142"/>
      <x:c r="K8" s="142"/>
      <x:c r="L8" s="142"/>
      <x:c r="M8" s="208"/>
      <x:c r="N8" s="208"/>
      <x:c r="O8" s="142"/>
      <x:c r="P8" s="142"/>
      <x:c r="Q8" s="142"/>
      <x:c r="R8" s="142"/>
      <x:c r="S8" s="142"/>
      <x:c r="T8" s="142"/>
      <x:c r="U8" s="142"/>
      <x:c r="V8" s="220"/>
      <x:c r="W8" s="142"/>
      <x:c r="X8" s="208"/>
      <x:c r="Y8" s="208"/>
      <x:c r="Z8" s="142"/>
      <x:c r="AA8" s="142"/>
      <x:c r="AB8" s="202" t="str">
        <x:f>IF(A8="","",IF(AND(B8&lt;&gt;"",D8&lt;&gt;"",F8&lt;&gt;"",H8&lt;&gt;"",M8&lt;&gt;"",N8&lt;&gt;"",Q8&lt;&gt;"",R8&lt;&gt;"",U8&lt;&gt;"",V8&lt;&gt;"",W8&lt;&gt;""),"PRONTO","PENDENTE"))</x:f>
      </x:c>
      <x:c r="AC8" s="214" t="str">
        <x:f>IF(A8="","",SUMIF('PARTICIPAÇÕES FONOGRAMA'!$A$5:$A$254,A8,'PARTICIPAÇÕES FONOGRAMA'!$I$5:$I$254))</x:f>
      </x:c>
      <x:c r="AD8" s="202" t="str">
        <x:f>IF(A8="","",IF(AC8=1,"OK 100%","CONFERIR"))</x:f>
      </x:c>
      <x:c r="AE8" s="142"/>
      <x:c r="AF8" s="142"/>
      <x:c r="AG8" s="142"/>
    </x:row>
    <x:row r="9" ht="19" customHeight="1">
      <x:c r="A9" s="142"/>
      <x:c r="B9" s="142"/>
      <x:c r="C9" s="142"/>
      <x:c r="D9" s="142"/>
      <x:c r="E9" s="142"/>
      <x:c r="F9" s="142"/>
      <x:c r="G9" s="142"/>
      <x:c r="H9" s="142"/>
      <x:c r="I9" s="142"/>
      <x:c r="J9" s="142"/>
      <x:c r="K9" s="142"/>
      <x:c r="L9" s="142"/>
      <x:c r="M9" s="208"/>
      <x:c r="N9" s="208"/>
      <x:c r="O9" s="142"/>
      <x:c r="P9" s="142"/>
      <x:c r="Q9" s="142"/>
      <x:c r="R9" s="142"/>
      <x:c r="S9" s="142"/>
      <x:c r="T9" s="142"/>
      <x:c r="U9" s="142"/>
      <x:c r="V9" s="220"/>
      <x:c r="W9" s="142"/>
      <x:c r="X9" s="208"/>
      <x:c r="Y9" s="208"/>
      <x:c r="Z9" s="142"/>
      <x:c r="AA9" s="142"/>
      <x:c r="AB9" s="202" t="str">
        <x:f>IF(A9="","",IF(AND(B9&lt;&gt;"",D9&lt;&gt;"",F9&lt;&gt;"",H9&lt;&gt;"",M9&lt;&gt;"",N9&lt;&gt;"",Q9&lt;&gt;"",R9&lt;&gt;"",U9&lt;&gt;"",V9&lt;&gt;"",W9&lt;&gt;""),"PRONTO","PENDENTE"))</x:f>
      </x:c>
      <x:c r="AC9" s="214" t="str">
        <x:f>IF(A9="","",SUMIF('PARTICIPAÇÕES FONOGRAMA'!$A$5:$A$254,A9,'PARTICIPAÇÕES FONOGRAMA'!$I$5:$I$254))</x:f>
      </x:c>
      <x:c r="AD9" s="202" t="str">
        <x:f>IF(A9="","",IF(AC9=1,"OK 100%","CONFERIR"))</x:f>
      </x:c>
      <x:c r="AE9" s="142"/>
      <x:c r="AF9" s="142"/>
      <x:c r="AG9" s="142"/>
    </x:row>
    <x:row r="10" ht="19" customHeight="1">
      <x:c r="A10" s="142"/>
      <x:c r="B10" s="142"/>
      <x:c r="C10" s="142"/>
      <x:c r="D10" s="142"/>
      <x:c r="E10" s="142"/>
      <x:c r="F10" s="142"/>
      <x:c r="G10" s="142"/>
      <x:c r="H10" s="142"/>
      <x:c r="I10" s="142"/>
      <x:c r="J10" s="142"/>
      <x:c r="K10" s="142"/>
      <x:c r="L10" s="142"/>
      <x:c r="M10" s="208"/>
      <x:c r="N10" s="208"/>
      <x:c r="O10" s="142"/>
      <x:c r="P10" s="142"/>
      <x:c r="Q10" s="142"/>
      <x:c r="R10" s="142"/>
      <x:c r="S10" s="142"/>
      <x:c r="T10" s="142"/>
      <x:c r="U10" s="142"/>
      <x:c r="V10" s="220"/>
      <x:c r="W10" s="142"/>
      <x:c r="X10" s="208"/>
      <x:c r="Y10" s="208"/>
      <x:c r="Z10" s="142"/>
      <x:c r="AA10" s="142"/>
      <x:c r="AB10" s="202" t="str">
        <x:f>IF(A10="","",IF(AND(B10&lt;&gt;"",D10&lt;&gt;"",F10&lt;&gt;"",H10&lt;&gt;"",M10&lt;&gt;"",N10&lt;&gt;"",Q10&lt;&gt;"",R10&lt;&gt;"",U10&lt;&gt;"",V10&lt;&gt;"",W10&lt;&gt;""),"PRONTO","PENDENTE"))</x:f>
      </x:c>
      <x:c r="AC10" s="214" t="str">
        <x:f>IF(A10="","",SUMIF('PARTICIPAÇÕES FONOGRAMA'!$A$5:$A$254,A10,'PARTICIPAÇÕES FONOGRAMA'!$I$5:$I$254))</x:f>
      </x:c>
      <x:c r="AD10" s="202" t="str">
        <x:f>IF(A10="","",IF(AC10=1,"OK 100%","CONFERIR"))</x:f>
      </x:c>
      <x:c r="AE10" s="142"/>
      <x:c r="AF10" s="142"/>
      <x:c r="AG10" s="142"/>
    </x:row>
    <x:row r="11" ht="19" customHeight="1">
      <x:c r="A11" s="142"/>
      <x:c r="B11" s="142"/>
      <x:c r="C11" s="142"/>
      <x:c r="D11" s="142"/>
      <x:c r="E11" s="142"/>
      <x:c r="F11" s="142"/>
      <x:c r="G11" s="142"/>
      <x:c r="H11" s="142"/>
      <x:c r="I11" s="142"/>
      <x:c r="J11" s="142"/>
      <x:c r="K11" s="142"/>
      <x:c r="L11" s="142"/>
      <x:c r="M11" s="208"/>
      <x:c r="N11" s="208"/>
      <x:c r="O11" s="142"/>
      <x:c r="P11" s="142"/>
      <x:c r="Q11" s="142"/>
      <x:c r="R11" s="142"/>
      <x:c r="S11" s="142"/>
      <x:c r="T11" s="142"/>
      <x:c r="U11" s="142"/>
      <x:c r="V11" s="220"/>
      <x:c r="W11" s="142"/>
      <x:c r="X11" s="208"/>
      <x:c r="Y11" s="208"/>
      <x:c r="Z11" s="142"/>
      <x:c r="AA11" s="142"/>
      <x:c r="AB11" s="202" t="str">
        <x:f>IF(A11="","",IF(AND(B11&lt;&gt;"",D11&lt;&gt;"",F11&lt;&gt;"",H11&lt;&gt;"",M11&lt;&gt;"",N11&lt;&gt;"",Q11&lt;&gt;"",R11&lt;&gt;"",U11&lt;&gt;"",V11&lt;&gt;"",W11&lt;&gt;""),"PRONTO","PENDENTE"))</x:f>
      </x:c>
      <x:c r="AC11" s="214" t="str">
        <x:f>IF(A11="","",SUMIF('PARTICIPAÇÕES FONOGRAMA'!$A$5:$A$254,A11,'PARTICIPAÇÕES FONOGRAMA'!$I$5:$I$254))</x:f>
      </x:c>
      <x:c r="AD11" s="202" t="str">
        <x:f>IF(A11="","",IF(AC11=1,"OK 100%","CONFERIR"))</x:f>
      </x:c>
      <x:c r="AE11" s="142"/>
      <x:c r="AF11" s="142"/>
      <x:c r="AG11" s="142"/>
    </x:row>
    <x:row r="12" ht="19" customHeight="1">
      <x:c r="A12" s="142"/>
      <x:c r="B12" s="142"/>
      <x:c r="C12" s="142"/>
      <x:c r="D12" s="142"/>
      <x:c r="E12" s="142"/>
      <x:c r="F12" s="142"/>
      <x:c r="G12" s="142"/>
      <x:c r="H12" s="142"/>
      <x:c r="I12" s="142"/>
      <x:c r="J12" s="142"/>
      <x:c r="K12" s="142"/>
      <x:c r="L12" s="142"/>
      <x:c r="M12" s="208"/>
      <x:c r="N12" s="208"/>
      <x:c r="O12" s="142"/>
      <x:c r="P12" s="142"/>
      <x:c r="Q12" s="142"/>
      <x:c r="R12" s="142"/>
      <x:c r="S12" s="142"/>
      <x:c r="T12" s="142"/>
      <x:c r="U12" s="142"/>
      <x:c r="V12" s="220"/>
      <x:c r="W12" s="142"/>
      <x:c r="X12" s="208"/>
      <x:c r="Y12" s="208"/>
      <x:c r="Z12" s="142"/>
      <x:c r="AA12" s="142"/>
      <x:c r="AB12" s="202" t="str">
        <x:f>IF(A12="","",IF(AND(B12&lt;&gt;"",D12&lt;&gt;"",F12&lt;&gt;"",H12&lt;&gt;"",M12&lt;&gt;"",N12&lt;&gt;"",Q12&lt;&gt;"",R12&lt;&gt;"",U12&lt;&gt;"",V12&lt;&gt;"",W12&lt;&gt;""),"PRONTO","PENDENTE"))</x:f>
      </x:c>
      <x:c r="AC12" s="214" t="str">
        <x:f>IF(A12="","",SUMIF('PARTICIPAÇÕES FONOGRAMA'!$A$5:$A$254,A12,'PARTICIPAÇÕES FONOGRAMA'!$I$5:$I$254))</x:f>
      </x:c>
      <x:c r="AD12" s="202" t="str">
        <x:f>IF(A12="","",IF(AC12=1,"OK 100%","CONFERIR"))</x:f>
      </x:c>
      <x:c r="AE12" s="142"/>
      <x:c r="AF12" s="142"/>
      <x:c r="AG12" s="142"/>
    </x:row>
    <x:row r="13" ht="19" customHeight="1">
      <x:c r="A13" s="142"/>
      <x:c r="B13" s="142"/>
      <x:c r="C13" s="142"/>
      <x:c r="D13" s="142"/>
      <x:c r="E13" s="142"/>
      <x:c r="F13" s="142"/>
      <x:c r="G13" s="142"/>
      <x:c r="H13" s="142"/>
      <x:c r="I13" s="142"/>
      <x:c r="J13" s="142"/>
      <x:c r="K13" s="142"/>
      <x:c r="L13" s="142"/>
      <x:c r="M13" s="208"/>
      <x:c r="N13" s="208"/>
      <x:c r="O13" s="142"/>
      <x:c r="P13" s="142"/>
      <x:c r="Q13" s="142"/>
      <x:c r="R13" s="142"/>
      <x:c r="S13" s="142"/>
      <x:c r="T13" s="142"/>
      <x:c r="U13" s="142"/>
      <x:c r="V13" s="220"/>
      <x:c r="W13" s="142"/>
      <x:c r="X13" s="208"/>
      <x:c r="Y13" s="208"/>
      <x:c r="Z13" s="142"/>
      <x:c r="AA13" s="142"/>
      <x:c r="AB13" s="202" t="str">
        <x:f>IF(A13="","",IF(AND(B13&lt;&gt;"",D13&lt;&gt;"",F13&lt;&gt;"",H13&lt;&gt;"",M13&lt;&gt;"",N13&lt;&gt;"",Q13&lt;&gt;"",R13&lt;&gt;"",U13&lt;&gt;"",V13&lt;&gt;"",W13&lt;&gt;""),"PRONTO","PENDENTE"))</x:f>
      </x:c>
      <x:c r="AC13" s="214" t="str">
        <x:f>IF(A13="","",SUMIF('PARTICIPAÇÕES FONOGRAMA'!$A$5:$A$254,A13,'PARTICIPAÇÕES FONOGRAMA'!$I$5:$I$254))</x:f>
      </x:c>
      <x:c r="AD13" s="202" t="str">
        <x:f>IF(A13="","",IF(AC13=1,"OK 100%","CONFERIR"))</x:f>
      </x:c>
      <x:c r="AE13" s="142"/>
      <x:c r="AF13" s="142"/>
      <x:c r="AG13" s="142"/>
    </x:row>
    <x:row r="14" ht="19" customHeight="1">
      <x:c r="A14" s="142"/>
      <x:c r="B14" s="142"/>
      <x:c r="C14" s="142"/>
      <x:c r="D14" s="142"/>
      <x:c r="E14" s="142"/>
      <x:c r="F14" s="142"/>
      <x:c r="G14" s="142"/>
      <x:c r="H14" s="142"/>
      <x:c r="I14" s="142"/>
      <x:c r="J14" s="142"/>
      <x:c r="K14" s="142"/>
      <x:c r="L14" s="142"/>
      <x:c r="M14" s="208"/>
      <x:c r="N14" s="208"/>
      <x:c r="O14" s="142"/>
      <x:c r="P14" s="142"/>
      <x:c r="Q14" s="142"/>
      <x:c r="R14" s="142"/>
      <x:c r="S14" s="142"/>
      <x:c r="T14" s="142"/>
      <x:c r="U14" s="142"/>
      <x:c r="V14" s="220"/>
      <x:c r="W14" s="142"/>
      <x:c r="X14" s="208"/>
      <x:c r="Y14" s="208"/>
      <x:c r="Z14" s="142"/>
      <x:c r="AA14" s="142"/>
      <x:c r="AB14" s="202" t="str">
        <x:f>IF(A14="","",IF(AND(B14&lt;&gt;"",D14&lt;&gt;"",F14&lt;&gt;"",H14&lt;&gt;"",M14&lt;&gt;"",N14&lt;&gt;"",Q14&lt;&gt;"",R14&lt;&gt;"",U14&lt;&gt;"",V14&lt;&gt;"",W14&lt;&gt;""),"PRONTO","PENDENTE"))</x:f>
      </x:c>
      <x:c r="AC14" s="214" t="str">
        <x:f>IF(A14="","",SUMIF('PARTICIPAÇÕES FONOGRAMA'!$A$5:$A$254,A14,'PARTICIPAÇÕES FONOGRAMA'!$I$5:$I$254))</x:f>
      </x:c>
      <x:c r="AD14" s="202" t="str">
        <x:f>IF(A14="","",IF(AC14=1,"OK 100%","CONFERIR"))</x:f>
      </x:c>
      <x:c r="AE14" s="142"/>
      <x:c r="AF14" s="142"/>
      <x:c r="AG14" s="142"/>
    </x:row>
    <x:row r="15" ht="19" customHeight="1">
      <x:c r="A15" s="142"/>
      <x:c r="B15" s="142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142"/>
      <x:c r="M15" s="208"/>
      <x:c r="N15" s="208"/>
      <x:c r="O15" s="142"/>
      <x:c r="P15" s="142"/>
      <x:c r="Q15" s="142"/>
      <x:c r="R15" s="142"/>
      <x:c r="S15" s="142"/>
      <x:c r="T15" s="142"/>
      <x:c r="U15" s="142"/>
      <x:c r="V15" s="220"/>
      <x:c r="W15" s="142"/>
      <x:c r="X15" s="208"/>
      <x:c r="Y15" s="208"/>
      <x:c r="Z15" s="142"/>
      <x:c r="AA15" s="142"/>
      <x:c r="AB15" s="202" t="str">
        <x:f>IF(A15="","",IF(AND(B15&lt;&gt;"",D15&lt;&gt;"",F15&lt;&gt;"",H15&lt;&gt;"",M15&lt;&gt;"",N15&lt;&gt;"",Q15&lt;&gt;"",R15&lt;&gt;"",U15&lt;&gt;"",V15&lt;&gt;"",W15&lt;&gt;""),"PRONTO","PENDENTE"))</x:f>
      </x:c>
      <x:c r="AC15" s="214" t="str">
        <x:f>IF(A15="","",SUMIF('PARTICIPAÇÕES FONOGRAMA'!$A$5:$A$254,A15,'PARTICIPAÇÕES FONOGRAMA'!$I$5:$I$254))</x:f>
      </x:c>
      <x:c r="AD15" s="202" t="str">
        <x:f>IF(A15="","",IF(AC15=1,"OK 100%","CONFERIR"))</x:f>
      </x:c>
      <x:c r="AE15" s="142"/>
      <x:c r="AF15" s="142"/>
      <x:c r="AG15" s="142"/>
    </x:row>
    <x:row r="16" ht="19" customHeight="1">
      <x:c r="A16" s="142"/>
      <x:c r="B16" s="142"/>
      <x:c r="C16" s="142"/>
      <x:c r="D16" s="142"/>
      <x:c r="E16" s="142"/>
      <x:c r="F16" s="142"/>
      <x:c r="G16" s="142"/>
      <x:c r="H16" s="142"/>
      <x:c r="I16" s="142"/>
      <x:c r="J16" s="142"/>
      <x:c r="K16" s="142"/>
      <x:c r="L16" s="142"/>
      <x:c r="M16" s="208"/>
      <x:c r="N16" s="208"/>
      <x:c r="O16" s="142"/>
      <x:c r="P16" s="142"/>
      <x:c r="Q16" s="142"/>
      <x:c r="R16" s="142"/>
      <x:c r="S16" s="142"/>
      <x:c r="T16" s="142"/>
      <x:c r="U16" s="142"/>
      <x:c r="V16" s="220"/>
      <x:c r="W16" s="142"/>
      <x:c r="X16" s="208"/>
      <x:c r="Y16" s="208"/>
      <x:c r="Z16" s="142"/>
      <x:c r="AA16" s="142"/>
      <x:c r="AB16" s="202" t="str">
        <x:f>IF(A16="","",IF(AND(B16&lt;&gt;"",D16&lt;&gt;"",F16&lt;&gt;"",H16&lt;&gt;"",M16&lt;&gt;"",N16&lt;&gt;"",Q16&lt;&gt;"",R16&lt;&gt;"",U16&lt;&gt;"",V16&lt;&gt;"",W16&lt;&gt;""),"PRONTO","PENDENTE"))</x:f>
      </x:c>
      <x:c r="AC16" s="214" t="str">
        <x:f>IF(A16="","",SUMIF('PARTICIPAÇÕES FONOGRAMA'!$A$5:$A$254,A16,'PARTICIPAÇÕES FONOGRAMA'!$I$5:$I$254))</x:f>
      </x:c>
      <x:c r="AD16" s="202" t="str">
        <x:f>IF(A16="","",IF(AC16=1,"OK 100%","CONFERIR"))</x:f>
      </x:c>
      <x:c r="AE16" s="142"/>
      <x:c r="AF16" s="142"/>
      <x:c r="AG16" s="142"/>
    </x:row>
    <x:row r="17" ht="19" customHeight="1">
      <x:c r="A17" s="142"/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208"/>
      <x:c r="N17" s="208"/>
      <x:c r="O17" s="142"/>
      <x:c r="P17" s="142"/>
      <x:c r="Q17" s="142"/>
      <x:c r="R17" s="142"/>
      <x:c r="S17" s="142"/>
      <x:c r="T17" s="142"/>
      <x:c r="U17" s="142"/>
      <x:c r="V17" s="220"/>
      <x:c r="W17" s="142"/>
      <x:c r="X17" s="208"/>
      <x:c r="Y17" s="208"/>
      <x:c r="Z17" s="142"/>
      <x:c r="AA17" s="142"/>
      <x:c r="AB17" s="202" t="str">
        <x:f>IF(A17="","",IF(AND(B17&lt;&gt;"",D17&lt;&gt;"",F17&lt;&gt;"",H17&lt;&gt;"",M17&lt;&gt;"",N17&lt;&gt;"",Q17&lt;&gt;"",R17&lt;&gt;"",U17&lt;&gt;"",V17&lt;&gt;"",W17&lt;&gt;""),"PRONTO","PENDENTE"))</x:f>
      </x:c>
      <x:c r="AC17" s="214" t="str">
        <x:f>IF(A17="","",SUMIF('PARTICIPAÇÕES FONOGRAMA'!$A$5:$A$254,A17,'PARTICIPAÇÕES FONOGRAMA'!$I$5:$I$254))</x:f>
      </x:c>
      <x:c r="AD17" s="202" t="str">
        <x:f>IF(A17="","",IF(AC17=1,"OK 100%","CONFERIR"))</x:f>
      </x:c>
      <x:c r="AE17" s="142"/>
      <x:c r="AF17" s="142"/>
      <x:c r="AG17" s="142"/>
    </x:row>
    <x:row r="18" ht="19" customHeight="1">
      <x:c r="A18" s="142"/>
      <x:c r="B18" s="142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142"/>
      <x:c r="M18" s="208"/>
      <x:c r="N18" s="208"/>
      <x:c r="O18" s="142"/>
      <x:c r="P18" s="142"/>
      <x:c r="Q18" s="142"/>
      <x:c r="R18" s="142"/>
      <x:c r="S18" s="142"/>
      <x:c r="T18" s="142"/>
      <x:c r="U18" s="142"/>
      <x:c r="V18" s="220"/>
      <x:c r="W18" s="142"/>
      <x:c r="X18" s="208"/>
      <x:c r="Y18" s="208"/>
      <x:c r="Z18" s="142"/>
      <x:c r="AA18" s="142"/>
      <x:c r="AB18" s="202" t="str">
        <x:f>IF(A18="","",IF(AND(B18&lt;&gt;"",D18&lt;&gt;"",F18&lt;&gt;"",H18&lt;&gt;"",M18&lt;&gt;"",N18&lt;&gt;"",Q18&lt;&gt;"",R18&lt;&gt;"",U18&lt;&gt;"",V18&lt;&gt;"",W18&lt;&gt;""),"PRONTO","PENDENTE"))</x:f>
      </x:c>
      <x:c r="AC18" s="214" t="str">
        <x:f>IF(A18="","",SUMIF('PARTICIPAÇÕES FONOGRAMA'!$A$5:$A$254,A18,'PARTICIPAÇÕES FONOGRAMA'!$I$5:$I$254))</x:f>
      </x:c>
      <x:c r="AD18" s="202" t="str">
        <x:f>IF(A18="","",IF(AC18=1,"OK 100%","CONFERIR"))</x:f>
      </x:c>
      <x:c r="AE18" s="142"/>
      <x:c r="AF18" s="142"/>
      <x:c r="AG18" s="142"/>
    </x:row>
    <x:row r="19" ht="19" customHeight="1">
      <x:c r="A19" s="142"/>
      <x:c r="B19" s="142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142"/>
      <x:c r="M19" s="208"/>
      <x:c r="N19" s="208"/>
      <x:c r="O19" s="142"/>
      <x:c r="P19" s="142"/>
      <x:c r="Q19" s="142"/>
      <x:c r="R19" s="142"/>
      <x:c r="S19" s="142"/>
      <x:c r="T19" s="142"/>
      <x:c r="U19" s="142"/>
      <x:c r="V19" s="220"/>
      <x:c r="W19" s="142"/>
      <x:c r="X19" s="208"/>
      <x:c r="Y19" s="208"/>
      <x:c r="Z19" s="142"/>
      <x:c r="AA19" s="142"/>
      <x:c r="AB19" s="202" t="str">
        <x:f>IF(A19="","",IF(AND(B19&lt;&gt;"",D19&lt;&gt;"",F19&lt;&gt;"",H19&lt;&gt;"",M19&lt;&gt;"",N19&lt;&gt;"",Q19&lt;&gt;"",R19&lt;&gt;"",U19&lt;&gt;"",V19&lt;&gt;"",W19&lt;&gt;""),"PRONTO","PENDENTE"))</x:f>
      </x:c>
      <x:c r="AC19" s="214" t="str">
        <x:f>IF(A19="","",SUMIF('PARTICIPAÇÕES FONOGRAMA'!$A$5:$A$254,A19,'PARTICIPAÇÕES FONOGRAMA'!$I$5:$I$254))</x:f>
      </x:c>
      <x:c r="AD19" s="202" t="str">
        <x:f>IF(A19="","",IF(AC19=1,"OK 100%","CONFERIR"))</x:f>
      </x:c>
      <x:c r="AE19" s="142"/>
      <x:c r="AF19" s="142"/>
      <x:c r="AG19" s="142"/>
    </x:row>
    <x:row r="20" ht="19" customHeight="1">
      <x:c r="A20" s="142"/>
      <x:c r="B20" s="142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142"/>
      <x:c r="M20" s="208"/>
      <x:c r="N20" s="208"/>
      <x:c r="O20" s="142"/>
      <x:c r="P20" s="142"/>
      <x:c r="Q20" s="142"/>
      <x:c r="R20" s="142"/>
      <x:c r="S20" s="142"/>
      <x:c r="T20" s="142"/>
      <x:c r="U20" s="142"/>
      <x:c r="V20" s="220"/>
      <x:c r="W20" s="142"/>
      <x:c r="X20" s="208"/>
      <x:c r="Y20" s="208"/>
      <x:c r="Z20" s="142"/>
      <x:c r="AA20" s="142"/>
      <x:c r="AB20" s="202" t="str">
        <x:f>IF(A20="","",IF(AND(B20&lt;&gt;"",D20&lt;&gt;"",F20&lt;&gt;"",H20&lt;&gt;"",M20&lt;&gt;"",N20&lt;&gt;"",Q20&lt;&gt;"",R20&lt;&gt;"",U20&lt;&gt;"",V20&lt;&gt;"",W20&lt;&gt;""),"PRONTO","PENDENTE"))</x:f>
      </x:c>
      <x:c r="AC20" s="214" t="str">
        <x:f>IF(A20="","",SUMIF('PARTICIPAÇÕES FONOGRAMA'!$A$5:$A$254,A20,'PARTICIPAÇÕES FONOGRAMA'!$I$5:$I$254))</x:f>
      </x:c>
      <x:c r="AD20" s="202" t="str">
        <x:f>IF(A20="","",IF(AC20=1,"OK 100%","CONFERIR"))</x:f>
      </x:c>
      <x:c r="AE20" s="142"/>
      <x:c r="AF20" s="142"/>
      <x:c r="AG20" s="142"/>
    </x:row>
    <x:row r="21" ht="19" customHeight="1">
      <x:c r="A21" s="142"/>
      <x:c r="B21" s="142"/>
      <x:c r="C21" s="142"/>
      <x:c r="D21" s="142"/>
      <x:c r="E21" s="142"/>
      <x:c r="F21" s="142"/>
      <x:c r="G21" s="142"/>
      <x:c r="H21" s="142"/>
      <x:c r="I21" s="142"/>
      <x:c r="J21" s="142"/>
      <x:c r="K21" s="142"/>
      <x:c r="L21" s="142"/>
      <x:c r="M21" s="208"/>
      <x:c r="N21" s="208"/>
      <x:c r="O21" s="142"/>
      <x:c r="P21" s="142"/>
      <x:c r="Q21" s="142"/>
      <x:c r="R21" s="142"/>
      <x:c r="S21" s="142"/>
      <x:c r="T21" s="142"/>
      <x:c r="U21" s="142"/>
      <x:c r="V21" s="220"/>
      <x:c r="W21" s="142"/>
      <x:c r="X21" s="208"/>
      <x:c r="Y21" s="208"/>
      <x:c r="Z21" s="142"/>
      <x:c r="AA21" s="142"/>
      <x:c r="AB21" s="202" t="str">
        <x:f>IF(A21="","",IF(AND(B21&lt;&gt;"",D21&lt;&gt;"",F21&lt;&gt;"",H21&lt;&gt;"",M21&lt;&gt;"",N21&lt;&gt;"",Q21&lt;&gt;"",R21&lt;&gt;"",U21&lt;&gt;"",V21&lt;&gt;"",W21&lt;&gt;""),"PRONTO","PENDENTE"))</x:f>
      </x:c>
      <x:c r="AC21" s="214" t="str">
        <x:f>IF(A21="","",SUMIF('PARTICIPAÇÕES FONOGRAMA'!$A$5:$A$254,A21,'PARTICIPAÇÕES FONOGRAMA'!$I$5:$I$254))</x:f>
      </x:c>
      <x:c r="AD21" s="202" t="str">
        <x:f>IF(A21="","",IF(AC21=1,"OK 100%","CONFERIR"))</x:f>
      </x:c>
      <x:c r="AE21" s="142"/>
      <x:c r="AF21" s="142"/>
      <x:c r="AG21" s="142"/>
    </x:row>
    <x:row r="22" ht="19" customHeight="1">
      <x:c r="A22" s="142"/>
      <x:c r="B22" s="142"/>
      <x:c r="C22" s="142"/>
      <x:c r="D22" s="142"/>
      <x:c r="E22" s="142"/>
      <x:c r="F22" s="142"/>
      <x:c r="G22" s="142"/>
      <x:c r="H22" s="142"/>
      <x:c r="I22" s="142"/>
      <x:c r="J22" s="142"/>
      <x:c r="K22" s="142"/>
      <x:c r="L22" s="142"/>
      <x:c r="M22" s="208"/>
      <x:c r="N22" s="208"/>
      <x:c r="O22" s="142"/>
      <x:c r="P22" s="142"/>
      <x:c r="Q22" s="142"/>
      <x:c r="R22" s="142"/>
      <x:c r="S22" s="142"/>
      <x:c r="T22" s="142"/>
      <x:c r="U22" s="142"/>
      <x:c r="V22" s="220"/>
      <x:c r="W22" s="142"/>
      <x:c r="X22" s="208"/>
      <x:c r="Y22" s="208"/>
      <x:c r="Z22" s="142"/>
      <x:c r="AA22" s="142"/>
      <x:c r="AB22" s="202" t="str">
        <x:f>IF(A22="","",IF(AND(B22&lt;&gt;"",D22&lt;&gt;"",F22&lt;&gt;"",H22&lt;&gt;"",M22&lt;&gt;"",N22&lt;&gt;"",Q22&lt;&gt;"",R22&lt;&gt;"",U22&lt;&gt;"",V22&lt;&gt;"",W22&lt;&gt;""),"PRONTO","PENDENTE"))</x:f>
      </x:c>
      <x:c r="AC22" s="214" t="str">
        <x:f>IF(A22="","",SUMIF('PARTICIPAÇÕES FONOGRAMA'!$A$5:$A$254,A22,'PARTICIPAÇÕES FONOGRAMA'!$I$5:$I$254))</x:f>
      </x:c>
      <x:c r="AD22" s="202" t="str">
        <x:f>IF(A22="","",IF(AC22=1,"OK 100%","CONFERIR"))</x:f>
      </x:c>
      <x:c r="AE22" s="142"/>
      <x:c r="AF22" s="142"/>
      <x:c r="AG22" s="142"/>
    </x:row>
    <x:row r="23" ht="19" customHeight="1">
      <x:c r="A23" s="142"/>
      <x:c r="B23" s="142"/>
      <x:c r="C23" s="142"/>
      <x:c r="D23" s="142"/>
      <x:c r="E23" s="142"/>
      <x:c r="F23" s="142"/>
      <x:c r="G23" s="142"/>
      <x:c r="H23" s="142"/>
      <x:c r="I23" s="142"/>
      <x:c r="J23" s="142"/>
      <x:c r="K23" s="142"/>
      <x:c r="L23" s="142"/>
      <x:c r="M23" s="208"/>
      <x:c r="N23" s="208"/>
      <x:c r="O23" s="142"/>
      <x:c r="P23" s="142"/>
      <x:c r="Q23" s="142"/>
      <x:c r="R23" s="142"/>
      <x:c r="S23" s="142"/>
      <x:c r="T23" s="142"/>
      <x:c r="U23" s="142"/>
      <x:c r="V23" s="220"/>
      <x:c r="W23" s="142"/>
      <x:c r="X23" s="208"/>
      <x:c r="Y23" s="208"/>
      <x:c r="Z23" s="142"/>
      <x:c r="AA23" s="142"/>
      <x:c r="AB23" s="202" t="str">
        <x:f>IF(A23="","",IF(AND(B23&lt;&gt;"",D23&lt;&gt;"",F23&lt;&gt;"",H23&lt;&gt;"",M23&lt;&gt;"",N23&lt;&gt;"",Q23&lt;&gt;"",R23&lt;&gt;"",U23&lt;&gt;"",V23&lt;&gt;"",W23&lt;&gt;""),"PRONTO","PENDENTE"))</x:f>
      </x:c>
      <x:c r="AC23" s="214" t="str">
        <x:f>IF(A23="","",SUMIF('PARTICIPAÇÕES FONOGRAMA'!$A$5:$A$254,A23,'PARTICIPAÇÕES FONOGRAMA'!$I$5:$I$254))</x:f>
      </x:c>
      <x:c r="AD23" s="202" t="str">
        <x:f>IF(A23="","",IF(AC23=1,"OK 100%","CONFERIR"))</x:f>
      </x:c>
      <x:c r="AE23" s="142"/>
      <x:c r="AF23" s="142"/>
      <x:c r="AG23" s="142"/>
    </x:row>
    <x:row r="24" ht="19" customHeight="1">
      <x:c r="A24" s="142"/>
      <x:c r="B24" s="142"/>
      <x:c r="C24" s="142"/>
      <x:c r="D24" s="142"/>
      <x:c r="E24" s="142"/>
      <x:c r="F24" s="142"/>
      <x:c r="G24" s="142"/>
      <x:c r="H24" s="142"/>
      <x:c r="I24" s="142"/>
      <x:c r="J24" s="142"/>
      <x:c r="K24" s="142"/>
      <x:c r="L24" s="142"/>
      <x:c r="M24" s="208"/>
      <x:c r="N24" s="208"/>
      <x:c r="O24" s="142"/>
      <x:c r="P24" s="142"/>
      <x:c r="Q24" s="142"/>
      <x:c r="R24" s="142"/>
      <x:c r="S24" s="142"/>
      <x:c r="T24" s="142"/>
      <x:c r="U24" s="142"/>
      <x:c r="V24" s="220"/>
      <x:c r="W24" s="142"/>
      <x:c r="X24" s="208"/>
      <x:c r="Y24" s="208"/>
      <x:c r="Z24" s="142"/>
      <x:c r="AA24" s="142"/>
      <x:c r="AB24" s="202" t="str">
        <x:f>IF(A24="","",IF(AND(B24&lt;&gt;"",D24&lt;&gt;"",F24&lt;&gt;"",H24&lt;&gt;"",M24&lt;&gt;"",N24&lt;&gt;"",Q24&lt;&gt;"",R24&lt;&gt;"",U24&lt;&gt;"",V24&lt;&gt;"",W24&lt;&gt;""),"PRONTO","PENDENTE"))</x:f>
      </x:c>
      <x:c r="AC24" s="214" t="str">
        <x:f>IF(A24="","",SUMIF('PARTICIPAÇÕES FONOGRAMA'!$A$5:$A$254,A24,'PARTICIPAÇÕES FONOGRAMA'!$I$5:$I$254))</x:f>
      </x:c>
      <x:c r="AD24" s="202" t="str">
        <x:f>IF(A24="","",IF(AC24=1,"OK 100%","CONFERIR"))</x:f>
      </x:c>
      <x:c r="AE24" s="142"/>
      <x:c r="AF24" s="142"/>
      <x:c r="AG24" s="142"/>
    </x:row>
    <x:row r="25" ht="19" customHeight="1">
      <x:c r="A25" s="142"/>
      <x:c r="B25" s="142"/>
      <x:c r="C25" s="142"/>
      <x:c r="D25" s="142"/>
      <x:c r="E25" s="142"/>
      <x:c r="F25" s="142"/>
      <x:c r="G25" s="142"/>
      <x:c r="H25" s="142"/>
      <x:c r="I25" s="142"/>
      <x:c r="J25" s="142"/>
      <x:c r="K25" s="142"/>
      <x:c r="L25" s="142"/>
      <x:c r="M25" s="208"/>
      <x:c r="N25" s="208"/>
      <x:c r="O25" s="142"/>
      <x:c r="P25" s="142"/>
      <x:c r="Q25" s="142"/>
      <x:c r="R25" s="142"/>
      <x:c r="S25" s="142"/>
      <x:c r="T25" s="142"/>
      <x:c r="U25" s="142"/>
      <x:c r="V25" s="220"/>
      <x:c r="W25" s="142"/>
      <x:c r="X25" s="208"/>
      <x:c r="Y25" s="208"/>
      <x:c r="Z25" s="142"/>
      <x:c r="AA25" s="142"/>
      <x:c r="AB25" s="202" t="str">
        <x:f>IF(A25="","",IF(AND(B25&lt;&gt;"",D25&lt;&gt;"",F25&lt;&gt;"",H25&lt;&gt;"",M25&lt;&gt;"",N25&lt;&gt;"",Q25&lt;&gt;"",R25&lt;&gt;"",U25&lt;&gt;"",V25&lt;&gt;"",W25&lt;&gt;""),"PRONTO","PENDENTE"))</x:f>
      </x:c>
      <x:c r="AC25" s="214" t="str">
        <x:f>IF(A25="","",SUMIF('PARTICIPAÇÕES FONOGRAMA'!$A$5:$A$254,A25,'PARTICIPAÇÕES FONOGRAMA'!$I$5:$I$254))</x:f>
      </x:c>
      <x:c r="AD25" s="202" t="str">
        <x:f>IF(A25="","",IF(AC25=1,"OK 100%","CONFERIR"))</x:f>
      </x:c>
      <x:c r="AE25" s="142"/>
      <x:c r="AF25" s="142"/>
      <x:c r="AG25" s="142"/>
    </x:row>
    <x:row r="26" ht="19" customHeight="1">
      <x:c r="A26" s="142"/>
      <x:c r="B26" s="142"/>
      <x:c r="C26" s="142"/>
      <x:c r="D26" s="142"/>
      <x:c r="E26" s="142"/>
      <x:c r="F26" s="142"/>
      <x:c r="G26" s="142"/>
      <x:c r="H26" s="142"/>
      <x:c r="I26" s="142"/>
      <x:c r="J26" s="142"/>
      <x:c r="K26" s="142"/>
      <x:c r="L26" s="142"/>
      <x:c r="M26" s="208"/>
      <x:c r="N26" s="208"/>
      <x:c r="O26" s="142"/>
      <x:c r="P26" s="142"/>
      <x:c r="Q26" s="142"/>
      <x:c r="R26" s="142"/>
      <x:c r="S26" s="142"/>
      <x:c r="T26" s="142"/>
      <x:c r="U26" s="142"/>
      <x:c r="V26" s="220"/>
      <x:c r="W26" s="142"/>
      <x:c r="X26" s="208"/>
      <x:c r="Y26" s="208"/>
      <x:c r="Z26" s="142"/>
      <x:c r="AA26" s="142"/>
      <x:c r="AB26" s="202" t="str">
        <x:f>IF(A26="","",IF(AND(B26&lt;&gt;"",D26&lt;&gt;"",F26&lt;&gt;"",H26&lt;&gt;"",M26&lt;&gt;"",N26&lt;&gt;"",Q26&lt;&gt;"",R26&lt;&gt;"",U26&lt;&gt;"",V26&lt;&gt;"",W26&lt;&gt;""),"PRONTO","PENDENTE"))</x:f>
      </x:c>
      <x:c r="AC26" s="214" t="str">
        <x:f>IF(A26="","",SUMIF('PARTICIPAÇÕES FONOGRAMA'!$A$5:$A$254,A26,'PARTICIPAÇÕES FONOGRAMA'!$I$5:$I$254))</x:f>
      </x:c>
      <x:c r="AD26" s="202" t="str">
        <x:f>IF(A26="","",IF(AC26=1,"OK 100%","CONFERIR"))</x:f>
      </x:c>
      <x:c r="AE26" s="142"/>
      <x:c r="AF26" s="142"/>
      <x:c r="AG26" s="142"/>
    </x:row>
    <x:row r="27" ht="19" customHeight="1">
      <x:c r="A27" s="142"/>
      <x:c r="B27" s="142"/>
      <x:c r="C27" s="142"/>
      <x:c r="D27" s="142"/>
      <x:c r="E27" s="142"/>
      <x:c r="F27" s="142"/>
      <x:c r="G27" s="142"/>
      <x:c r="H27" s="142"/>
      <x:c r="I27" s="142"/>
      <x:c r="J27" s="142"/>
      <x:c r="K27" s="142"/>
      <x:c r="L27" s="142"/>
      <x:c r="M27" s="208"/>
      <x:c r="N27" s="208"/>
      <x:c r="O27" s="142"/>
      <x:c r="P27" s="142"/>
      <x:c r="Q27" s="142"/>
      <x:c r="R27" s="142"/>
      <x:c r="S27" s="142"/>
      <x:c r="T27" s="142"/>
      <x:c r="U27" s="142"/>
      <x:c r="V27" s="220"/>
      <x:c r="W27" s="142"/>
      <x:c r="X27" s="208"/>
      <x:c r="Y27" s="208"/>
      <x:c r="Z27" s="142"/>
      <x:c r="AA27" s="142"/>
      <x:c r="AB27" s="202" t="str">
        <x:f>IF(A27="","",IF(AND(B27&lt;&gt;"",D27&lt;&gt;"",F27&lt;&gt;"",H27&lt;&gt;"",M27&lt;&gt;"",N27&lt;&gt;"",Q27&lt;&gt;"",R27&lt;&gt;"",U27&lt;&gt;"",V27&lt;&gt;"",W27&lt;&gt;""),"PRONTO","PENDENTE"))</x:f>
      </x:c>
      <x:c r="AC27" s="214" t="str">
        <x:f>IF(A27="","",SUMIF('PARTICIPAÇÕES FONOGRAMA'!$A$5:$A$254,A27,'PARTICIPAÇÕES FONOGRAMA'!$I$5:$I$254))</x:f>
      </x:c>
      <x:c r="AD27" s="202" t="str">
        <x:f>IF(A27="","",IF(AC27=1,"OK 100%","CONFERIR"))</x:f>
      </x:c>
      <x:c r="AE27" s="142"/>
      <x:c r="AF27" s="142"/>
      <x:c r="AG27" s="142"/>
    </x:row>
    <x:row r="28" ht="19" customHeight="1">
      <x:c r="A28" s="142"/>
      <x:c r="B28" s="142"/>
      <x:c r="C28" s="142"/>
      <x:c r="D28" s="142"/>
      <x:c r="E28" s="142"/>
      <x:c r="F28" s="142"/>
      <x:c r="G28" s="142"/>
      <x:c r="H28" s="142"/>
      <x:c r="I28" s="142"/>
      <x:c r="J28" s="142"/>
      <x:c r="K28" s="142"/>
      <x:c r="L28" s="142"/>
      <x:c r="M28" s="208"/>
      <x:c r="N28" s="208"/>
      <x:c r="O28" s="142"/>
      <x:c r="P28" s="142"/>
      <x:c r="Q28" s="142"/>
      <x:c r="R28" s="142"/>
      <x:c r="S28" s="142"/>
      <x:c r="T28" s="142"/>
      <x:c r="U28" s="142"/>
      <x:c r="V28" s="220"/>
      <x:c r="W28" s="142"/>
      <x:c r="X28" s="208"/>
      <x:c r="Y28" s="208"/>
      <x:c r="Z28" s="142"/>
      <x:c r="AA28" s="142"/>
      <x:c r="AB28" s="202" t="str">
        <x:f>IF(A28="","",IF(AND(B28&lt;&gt;"",D28&lt;&gt;"",F28&lt;&gt;"",H28&lt;&gt;"",M28&lt;&gt;"",N28&lt;&gt;"",Q28&lt;&gt;"",R28&lt;&gt;"",U28&lt;&gt;"",V28&lt;&gt;"",W28&lt;&gt;""),"PRONTO","PENDENTE"))</x:f>
      </x:c>
      <x:c r="AC28" s="214" t="str">
        <x:f>IF(A28="","",SUMIF('PARTICIPAÇÕES FONOGRAMA'!$A$5:$A$254,A28,'PARTICIPAÇÕES FONOGRAMA'!$I$5:$I$254))</x:f>
      </x:c>
      <x:c r="AD28" s="202" t="str">
        <x:f>IF(A28="","",IF(AC28=1,"OK 100%","CONFERIR"))</x:f>
      </x:c>
      <x:c r="AE28" s="142"/>
      <x:c r="AF28" s="142"/>
      <x:c r="AG28" s="142"/>
    </x:row>
    <x:row r="29" ht="19" customHeight="1">
      <x:c r="A29" s="142"/>
      <x:c r="B29" s="142"/>
      <x:c r="C29" s="142"/>
      <x:c r="D29" s="142"/>
      <x:c r="E29" s="142"/>
      <x:c r="F29" s="142"/>
      <x:c r="G29" s="142"/>
      <x:c r="H29" s="142"/>
      <x:c r="I29" s="142"/>
      <x:c r="J29" s="142"/>
      <x:c r="K29" s="142"/>
      <x:c r="L29" s="142"/>
      <x:c r="M29" s="208"/>
      <x:c r="N29" s="208"/>
      <x:c r="O29" s="142"/>
      <x:c r="P29" s="142"/>
      <x:c r="Q29" s="142"/>
      <x:c r="R29" s="142"/>
      <x:c r="S29" s="142"/>
      <x:c r="T29" s="142"/>
      <x:c r="U29" s="142"/>
      <x:c r="V29" s="220"/>
      <x:c r="W29" s="142"/>
      <x:c r="X29" s="208"/>
      <x:c r="Y29" s="208"/>
      <x:c r="Z29" s="142"/>
      <x:c r="AA29" s="142"/>
      <x:c r="AB29" s="202" t="str">
        <x:f>IF(A29="","",IF(AND(B29&lt;&gt;"",D29&lt;&gt;"",F29&lt;&gt;"",H29&lt;&gt;"",M29&lt;&gt;"",N29&lt;&gt;"",Q29&lt;&gt;"",R29&lt;&gt;"",U29&lt;&gt;"",V29&lt;&gt;"",W29&lt;&gt;""),"PRONTO","PENDENTE"))</x:f>
      </x:c>
      <x:c r="AC29" s="214" t="str">
        <x:f>IF(A29="","",SUMIF('PARTICIPAÇÕES FONOGRAMA'!$A$5:$A$254,A29,'PARTICIPAÇÕES FONOGRAMA'!$I$5:$I$254))</x:f>
      </x:c>
      <x:c r="AD29" s="202" t="str">
        <x:f>IF(A29="","",IF(AC29=1,"OK 100%","CONFERIR"))</x:f>
      </x:c>
      <x:c r="AE29" s="142"/>
      <x:c r="AF29" s="142"/>
      <x:c r="AG29" s="142"/>
    </x:row>
    <x:row r="30" ht="19" customHeight="1">
      <x:c r="A30" s="142"/>
      <x:c r="B30" s="142"/>
      <x:c r="C30" s="142"/>
      <x:c r="D30" s="142"/>
      <x:c r="E30" s="142"/>
      <x:c r="F30" s="142"/>
      <x:c r="G30" s="142"/>
      <x:c r="H30" s="142"/>
      <x:c r="I30" s="142"/>
      <x:c r="J30" s="142"/>
      <x:c r="K30" s="142"/>
      <x:c r="L30" s="142"/>
      <x:c r="M30" s="208"/>
      <x:c r="N30" s="208"/>
      <x:c r="O30" s="142"/>
      <x:c r="P30" s="142"/>
      <x:c r="Q30" s="142"/>
      <x:c r="R30" s="142"/>
      <x:c r="S30" s="142"/>
      <x:c r="T30" s="142"/>
      <x:c r="U30" s="142"/>
      <x:c r="V30" s="220"/>
      <x:c r="W30" s="142"/>
      <x:c r="X30" s="208"/>
      <x:c r="Y30" s="208"/>
      <x:c r="Z30" s="142"/>
      <x:c r="AA30" s="142"/>
      <x:c r="AB30" s="202" t="str">
        <x:f>IF(A30="","",IF(AND(B30&lt;&gt;"",D30&lt;&gt;"",F30&lt;&gt;"",H30&lt;&gt;"",M30&lt;&gt;"",N30&lt;&gt;"",Q30&lt;&gt;"",R30&lt;&gt;"",U30&lt;&gt;"",V30&lt;&gt;"",W30&lt;&gt;""),"PRONTO","PENDENTE"))</x:f>
      </x:c>
      <x:c r="AC30" s="214" t="str">
        <x:f>IF(A30="","",SUMIF('PARTICIPAÇÕES FONOGRAMA'!$A$5:$A$254,A30,'PARTICIPAÇÕES FONOGRAMA'!$I$5:$I$254))</x:f>
      </x:c>
      <x:c r="AD30" s="202" t="str">
        <x:f>IF(A30="","",IF(AC30=1,"OK 100%","CONFERIR"))</x:f>
      </x:c>
      <x:c r="AE30" s="142"/>
      <x:c r="AF30" s="142"/>
      <x:c r="AG30" s="142"/>
    </x:row>
    <x:row r="31" ht="19" customHeight="1">
      <x:c r="A31" s="142"/>
      <x:c r="B31" s="142"/>
      <x:c r="C31" s="142"/>
      <x:c r="D31" s="142"/>
      <x:c r="E31" s="142"/>
      <x:c r="F31" s="142"/>
      <x:c r="G31" s="142"/>
      <x:c r="H31" s="142"/>
      <x:c r="I31" s="142"/>
      <x:c r="J31" s="142"/>
      <x:c r="K31" s="142"/>
      <x:c r="L31" s="142"/>
      <x:c r="M31" s="208"/>
      <x:c r="N31" s="208"/>
      <x:c r="O31" s="142"/>
      <x:c r="P31" s="142"/>
      <x:c r="Q31" s="142"/>
      <x:c r="R31" s="142"/>
      <x:c r="S31" s="142"/>
      <x:c r="T31" s="142"/>
      <x:c r="U31" s="142"/>
      <x:c r="V31" s="220"/>
      <x:c r="W31" s="142"/>
      <x:c r="X31" s="208"/>
      <x:c r="Y31" s="208"/>
      <x:c r="Z31" s="142"/>
      <x:c r="AA31" s="142"/>
      <x:c r="AB31" s="202" t="str">
        <x:f>IF(A31="","",IF(AND(B31&lt;&gt;"",D31&lt;&gt;"",F31&lt;&gt;"",H31&lt;&gt;"",M31&lt;&gt;"",N31&lt;&gt;"",Q31&lt;&gt;"",R31&lt;&gt;"",U31&lt;&gt;"",V31&lt;&gt;"",W31&lt;&gt;""),"PRONTO","PENDENTE"))</x:f>
      </x:c>
      <x:c r="AC31" s="214" t="str">
        <x:f>IF(A31="","",SUMIF('PARTICIPAÇÕES FONOGRAMA'!$A$5:$A$254,A31,'PARTICIPAÇÕES FONOGRAMA'!$I$5:$I$254))</x:f>
      </x:c>
      <x:c r="AD31" s="202" t="str">
        <x:f>IF(A31="","",IF(AC31=1,"OK 100%","CONFERIR"))</x:f>
      </x:c>
      <x:c r="AE31" s="142"/>
      <x:c r="AF31" s="142"/>
      <x:c r="AG31" s="142"/>
    </x:row>
    <x:row r="32" ht="19" customHeight="1">
      <x:c r="A32" s="142"/>
      <x:c r="B32" s="142"/>
      <x:c r="C32" s="142"/>
      <x:c r="D32" s="142"/>
      <x:c r="E32" s="142"/>
      <x:c r="F32" s="142"/>
      <x:c r="G32" s="142"/>
      <x:c r="H32" s="142"/>
      <x:c r="I32" s="142"/>
      <x:c r="J32" s="142"/>
      <x:c r="K32" s="142"/>
      <x:c r="L32" s="142"/>
      <x:c r="M32" s="208"/>
      <x:c r="N32" s="208"/>
      <x:c r="O32" s="142"/>
      <x:c r="P32" s="142"/>
      <x:c r="Q32" s="142"/>
      <x:c r="R32" s="142"/>
      <x:c r="S32" s="142"/>
      <x:c r="T32" s="142"/>
      <x:c r="U32" s="142"/>
      <x:c r="V32" s="220"/>
      <x:c r="W32" s="142"/>
      <x:c r="X32" s="208"/>
      <x:c r="Y32" s="208"/>
      <x:c r="Z32" s="142"/>
      <x:c r="AA32" s="142"/>
      <x:c r="AB32" s="202" t="str">
        <x:f>IF(A32="","",IF(AND(B32&lt;&gt;"",D32&lt;&gt;"",F32&lt;&gt;"",H32&lt;&gt;"",M32&lt;&gt;"",N32&lt;&gt;"",Q32&lt;&gt;"",R32&lt;&gt;"",U32&lt;&gt;"",V32&lt;&gt;"",W32&lt;&gt;""),"PRONTO","PENDENTE"))</x:f>
      </x:c>
      <x:c r="AC32" s="214" t="str">
        <x:f>IF(A32="","",SUMIF('PARTICIPAÇÕES FONOGRAMA'!$A$5:$A$254,A32,'PARTICIPAÇÕES FONOGRAMA'!$I$5:$I$254))</x:f>
      </x:c>
      <x:c r="AD32" s="202" t="str">
        <x:f>IF(A32="","",IF(AC32=1,"OK 100%","CONFERIR"))</x:f>
      </x:c>
      <x:c r="AE32" s="142"/>
      <x:c r="AF32" s="142"/>
      <x:c r="AG32" s="142"/>
    </x:row>
    <x:row r="33" ht="19" customHeight="1">
      <x:c r="A33" s="142"/>
      <x:c r="B33" s="142"/>
      <x:c r="C33" s="142"/>
      <x:c r="D33" s="142"/>
      <x:c r="E33" s="142"/>
      <x:c r="F33" s="142"/>
      <x:c r="G33" s="142"/>
      <x:c r="H33" s="142"/>
      <x:c r="I33" s="142"/>
      <x:c r="J33" s="142"/>
      <x:c r="K33" s="142"/>
      <x:c r="L33" s="142"/>
      <x:c r="M33" s="208"/>
      <x:c r="N33" s="208"/>
      <x:c r="O33" s="142"/>
      <x:c r="P33" s="142"/>
      <x:c r="Q33" s="142"/>
      <x:c r="R33" s="142"/>
      <x:c r="S33" s="142"/>
      <x:c r="T33" s="142"/>
      <x:c r="U33" s="142"/>
      <x:c r="V33" s="220"/>
      <x:c r="W33" s="142"/>
      <x:c r="X33" s="208"/>
      <x:c r="Y33" s="208"/>
      <x:c r="Z33" s="142"/>
      <x:c r="AA33" s="142"/>
      <x:c r="AB33" s="202" t="str">
        <x:f>IF(A33="","",IF(AND(B33&lt;&gt;"",D33&lt;&gt;"",F33&lt;&gt;"",H33&lt;&gt;"",M33&lt;&gt;"",N33&lt;&gt;"",Q33&lt;&gt;"",R33&lt;&gt;"",U33&lt;&gt;"",V33&lt;&gt;"",W33&lt;&gt;""),"PRONTO","PENDENTE"))</x:f>
      </x:c>
      <x:c r="AC33" s="214" t="str">
        <x:f>IF(A33="","",SUMIF('PARTICIPAÇÕES FONOGRAMA'!$A$5:$A$254,A33,'PARTICIPAÇÕES FONOGRAMA'!$I$5:$I$254))</x:f>
      </x:c>
      <x:c r="AD33" s="202" t="str">
        <x:f>IF(A33="","",IF(AC33=1,"OK 100%","CONFERIR"))</x:f>
      </x:c>
      <x:c r="AE33" s="142"/>
      <x:c r="AF33" s="142"/>
      <x:c r="AG33" s="142"/>
    </x:row>
    <x:row r="34" ht="19" customHeight="1">
      <x:c r="A34" s="142"/>
      <x:c r="B34" s="142"/>
      <x:c r="C34" s="142"/>
      <x:c r="D34" s="142"/>
      <x:c r="E34" s="142"/>
      <x:c r="F34" s="142"/>
      <x:c r="G34" s="142"/>
      <x:c r="H34" s="142"/>
      <x:c r="I34" s="142"/>
      <x:c r="J34" s="142"/>
      <x:c r="K34" s="142"/>
      <x:c r="L34" s="142"/>
      <x:c r="M34" s="208"/>
      <x:c r="N34" s="208"/>
      <x:c r="O34" s="142"/>
      <x:c r="P34" s="142"/>
      <x:c r="Q34" s="142"/>
      <x:c r="R34" s="142"/>
      <x:c r="S34" s="142"/>
      <x:c r="T34" s="142"/>
      <x:c r="U34" s="142"/>
      <x:c r="V34" s="220"/>
      <x:c r="W34" s="142"/>
      <x:c r="X34" s="208"/>
      <x:c r="Y34" s="208"/>
      <x:c r="Z34" s="142"/>
      <x:c r="AA34" s="142"/>
      <x:c r="AB34" s="202" t="str">
        <x:f>IF(A34="","",IF(AND(B34&lt;&gt;"",D34&lt;&gt;"",F34&lt;&gt;"",H34&lt;&gt;"",M34&lt;&gt;"",N34&lt;&gt;"",Q34&lt;&gt;"",R34&lt;&gt;"",U34&lt;&gt;"",V34&lt;&gt;"",W34&lt;&gt;""),"PRONTO","PENDENTE"))</x:f>
      </x:c>
      <x:c r="AC34" s="214" t="str">
        <x:f>IF(A34="","",SUMIF('PARTICIPAÇÕES FONOGRAMA'!$A$5:$A$254,A34,'PARTICIPAÇÕES FONOGRAMA'!$I$5:$I$254))</x:f>
      </x:c>
      <x:c r="AD34" s="202" t="str">
        <x:f>IF(A34="","",IF(AC34=1,"OK 100%","CONFERIR"))</x:f>
      </x:c>
      <x:c r="AE34" s="142"/>
      <x:c r="AF34" s="142"/>
      <x:c r="AG34" s="142"/>
    </x:row>
    <x:row r="35" ht="19" customHeight="1">
      <x:c r="A35" s="142"/>
      <x:c r="B35" s="142"/>
      <x:c r="C35" s="142"/>
      <x:c r="D35" s="142"/>
      <x:c r="E35" s="142"/>
      <x:c r="F35" s="142"/>
      <x:c r="G35" s="142"/>
      <x:c r="H35" s="142"/>
      <x:c r="I35" s="142"/>
      <x:c r="J35" s="142"/>
      <x:c r="K35" s="142"/>
      <x:c r="L35" s="142"/>
      <x:c r="M35" s="208"/>
      <x:c r="N35" s="208"/>
      <x:c r="O35" s="142"/>
      <x:c r="P35" s="142"/>
      <x:c r="Q35" s="142"/>
      <x:c r="R35" s="142"/>
      <x:c r="S35" s="142"/>
      <x:c r="T35" s="142"/>
      <x:c r="U35" s="142"/>
      <x:c r="V35" s="220"/>
      <x:c r="W35" s="142"/>
      <x:c r="X35" s="208"/>
      <x:c r="Y35" s="208"/>
      <x:c r="Z35" s="142"/>
      <x:c r="AA35" s="142"/>
      <x:c r="AB35" s="202" t="str">
        <x:f>IF(A35="","",IF(AND(B35&lt;&gt;"",D35&lt;&gt;"",F35&lt;&gt;"",H35&lt;&gt;"",M35&lt;&gt;"",N35&lt;&gt;"",Q35&lt;&gt;"",R35&lt;&gt;"",U35&lt;&gt;"",V35&lt;&gt;"",W35&lt;&gt;""),"PRONTO","PENDENTE"))</x:f>
      </x:c>
      <x:c r="AC35" s="214" t="str">
        <x:f>IF(A35="","",SUMIF('PARTICIPAÇÕES FONOGRAMA'!$A$5:$A$254,A35,'PARTICIPAÇÕES FONOGRAMA'!$I$5:$I$254))</x:f>
      </x:c>
      <x:c r="AD35" s="202" t="str">
        <x:f>IF(A35="","",IF(AC35=1,"OK 100%","CONFERIR"))</x:f>
      </x:c>
      <x:c r="AE35" s="142"/>
      <x:c r="AF35" s="142"/>
      <x:c r="AG35" s="142"/>
    </x:row>
    <x:row r="36" ht="19" customHeight="1">
      <x:c r="A36" s="142"/>
      <x:c r="B36" s="142"/>
      <x:c r="C36" s="142"/>
      <x:c r="D36" s="142"/>
      <x:c r="E36" s="142"/>
      <x:c r="F36" s="142"/>
      <x:c r="G36" s="142"/>
      <x:c r="H36" s="142"/>
      <x:c r="I36" s="142"/>
      <x:c r="J36" s="142"/>
      <x:c r="K36" s="142"/>
      <x:c r="L36" s="142"/>
      <x:c r="M36" s="208"/>
      <x:c r="N36" s="208"/>
      <x:c r="O36" s="142"/>
      <x:c r="P36" s="142"/>
      <x:c r="Q36" s="142"/>
      <x:c r="R36" s="142"/>
      <x:c r="S36" s="142"/>
      <x:c r="T36" s="142"/>
      <x:c r="U36" s="142"/>
      <x:c r="V36" s="220"/>
      <x:c r="W36" s="142"/>
      <x:c r="X36" s="208"/>
      <x:c r="Y36" s="208"/>
      <x:c r="Z36" s="142"/>
      <x:c r="AA36" s="142"/>
      <x:c r="AB36" s="202" t="str">
        <x:f>IF(A36="","",IF(AND(B36&lt;&gt;"",D36&lt;&gt;"",F36&lt;&gt;"",H36&lt;&gt;"",M36&lt;&gt;"",N36&lt;&gt;"",Q36&lt;&gt;"",R36&lt;&gt;"",U36&lt;&gt;"",V36&lt;&gt;"",W36&lt;&gt;""),"PRONTO","PENDENTE"))</x:f>
      </x:c>
      <x:c r="AC36" s="214" t="str">
        <x:f>IF(A36="","",SUMIF('PARTICIPAÇÕES FONOGRAMA'!$A$5:$A$254,A36,'PARTICIPAÇÕES FONOGRAMA'!$I$5:$I$254))</x:f>
      </x:c>
      <x:c r="AD36" s="202" t="str">
        <x:f>IF(A36="","",IF(AC36=1,"OK 100%","CONFERIR"))</x:f>
      </x:c>
      <x:c r="AE36" s="142"/>
      <x:c r="AF36" s="142"/>
      <x:c r="AG36" s="142"/>
    </x:row>
    <x:row r="37" ht="19" customHeight="1">
      <x:c r="A37" s="142"/>
      <x:c r="B37" s="142"/>
      <x:c r="C37" s="142"/>
      <x:c r="D37" s="142"/>
      <x:c r="E37" s="142"/>
      <x:c r="F37" s="142"/>
      <x:c r="G37" s="142"/>
      <x:c r="H37" s="142"/>
      <x:c r="I37" s="142"/>
      <x:c r="J37" s="142"/>
      <x:c r="K37" s="142"/>
      <x:c r="L37" s="142"/>
      <x:c r="M37" s="208"/>
      <x:c r="N37" s="208"/>
      <x:c r="O37" s="142"/>
      <x:c r="P37" s="142"/>
      <x:c r="Q37" s="142"/>
      <x:c r="R37" s="142"/>
      <x:c r="S37" s="142"/>
      <x:c r="T37" s="142"/>
      <x:c r="U37" s="142"/>
      <x:c r="V37" s="220"/>
      <x:c r="W37" s="142"/>
      <x:c r="X37" s="208"/>
      <x:c r="Y37" s="208"/>
      <x:c r="Z37" s="142"/>
      <x:c r="AA37" s="142"/>
      <x:c r="AB37" s="202" t="str">
        <x:f>IF(A37="","",IF(AND(B37&lt;&gt;"",D37&lt;&gt;"",F37&lt;&gt;"",H37&lt;&gt;"",M37&lt;&gt;"",N37&lt;&gt;"",Q37&lt;&gt;"",R37&lt;&gt;"",U37&lt;&gt;"",V37&lt;&gt;"",W37&lt;&gt;""),"PRONTO","PENDENTE"))</x:f>
      </x:c>
      <x:c r="AC37" s="214" t="str">
        <x:f>IF(A37="","",SUMIF('PARTICIPAÇÕES FONOGRAMA'!$A$5:$A$254,A37,'PARTICIPAÇÕES FONOGRAMA'!$I$5:$I$254))</x:f>
      </x:c>
      <x:c r="AD37" s="202" t="str">
        <x:f>IF(A37="","",IF(AC37=1,"OK 100%","CONFERIR"))</x:f>
      </x:c>
      <x:c r="AE37" s="142"/>
      <x:c r="AF37" s="142"/>
      <x:c r="AG37" s="142"/>
    </x:row>
    <x:row r="38" ht="19" customHeight="1">
      <x:c r="A38" s="142"/>
      <x:c r="B38" s="142"/>
      <x:c r="C38" s="142"/>
      <x:c r="D38" s="142"/>
      <x:c r="E38" s="142"/>
      <x:c r="F38" s="142"/>
      <x:c r="G38" s="142"/>
      <x:c r="H38" s="142"/>
      <x:c r="I38" s="142"/>
      <x:c r="J38" s="142"/>
      <x:c r="K38" s="142"/>
      <x:c r="L38" s="142"/>
      <x:c r="M38" s="208"/>
      <x:c r="N38" s="208"/>
      <x:c r="O38" s="142"/>
      <x:c r="P38" s="142"/>
      <x:c r="Q38" s="142"/>
      <x:c r="R38" s="142"/>
      <x:c r="S38" s="142"/>
      <x:c r="T38" s="142"/>
      <x:c r="U38" s="142"/>
      <x:c r="V38" s="220"/>
      <x:c r="W38" s="142"/>
      <x:c r="X38" s="208"/>
      <x:c r="Y38" s="208"/>
      <x:c r="Z38" s="142"/>
      <x:c r="AA38" s="142"/>
      <x:c r="AB38" s="202" t="str">
        <x:f>IF(A38="","",IF(AND(B38&lt;&gt;"",D38&lt;&gt;"",F38&lt;&gt;"",H38&lt;&gt;"",M38&lt;&gt;"",N38&lt;&gt;"",Q38&lt;&gt;"",R38&lt;&gt;"",U38&lt;&gt;"",V38&lt;&gt;"",W38&lt;&gt;""),"PRONTO","PENDENTE"))</x:f>
      </x:c>
      <x:c r="AC38" s="214" t="str">
        <x:f>IF(A38="","",SUMIF('PARTICIPAÇÕES FONOGRAMA'!$A$5:$A$254,A38,'PARTICIPAÇÕES FONOGRAMA'!$I$5:$I$254))</x:f>
      </x:c>
      <x:c r="AD38" s="202" t="str">
        <x:f>IF(A38="","",IF(AC38=1,"OK 100%","CONFERIR"))</x:f>
      </x:c>
      <x:c r="AE38" s="142"/>
      <x:c r="AF38" s="142"/>
      <x:c r="AG38" s="142"/>
    </x:row>
    <x:row r="39" ht="19" customHeight="1">
      <x:c r="A39" s="142"/>
      <x:c r="B39" s="142"/>
      <x:c r="C39" s="142"/>
      <x:c r="D39" s="142"/>
      <x:c r="E39" s="142"/>
      <x:c r="F39" s="142"/>
      <x:c r="G39" s="142"/>
      <x:c r="H39" s="142"/>
      <x:c r="I39" s="142"/>
      <x:c r="J39" s="142"/>
      <x:c r="K39" s="142"/>
      <x:c r="L39" s="142"/>
      <x:c r="M39" s="208"/>
      <x:c r="N39" s="208"/>
      <x:c r="O39" s="142"/>
      <x:c r="P39" s="142"/>
      <x:c r="Q39" s="142"/>
      <x:c r="R39" s="142"/>
      <x:c r="S39" s="142"/>
      <x:c r="T39" s="142"/>
      <x:c r="U39" s="142"/>
      <x:c r="V39" s="220"/>
      <x:c r="W39" s="142"/>
      <x:c r="X39" s="208"/>
      <x:c r="Y39" s="208"/>
      <x:c r="Z39" s="142"/>
      <x:c r="AA39" s="142"/>
      <x:c r="AB39" s="202" t="str">
        <x:f>IF(A39="","",IF(AND(B39&lt;&gt;"",D39&lt;&gt;"",F39&lt;&gt;"",H39&lt;&gt;"",M39&lt;&gt;"",N39&lt;&gt;"",Q39&lt;&gt;"",R39&lt;&gt;"",U39&lt;&gt;"",V39&lt;&gt;"",W39&lt;&gt;""),"PRONTO","PENDENTE"))</x:f>
      </x:c>
      <x:c r="AC39" s="214" t="str">
        <x:f>IF(A39="","",SUMIF('PARTICIPAÇÕES FONOGRAMA'!$A$5:$A$254,A39,'PARTICIPAÇÕES FONOGRAMA'!$I$5:$I$254))</x:f>
      </x:c>
      <x:c r="AD39" s="202" t="str">
        <x:f>IF(A39="","",IF(AC39=1,"OK 100%","CONFERIR"))</x:f>
      </x:c>
      <x:c r="AE39" s="142"/>
      <x:c r="AF39" s="142"/>
      <x:c r="AG39" s="142"/>
    </x:row>
    <x:row r="40" ht="19" customHeight="1">
      <x:c r="A40" s="142"/>
      <x:c r="B40" s="142"/>
      <x:c r="C40" s="142"/>
      <x:c r="D40" s="142"/>
      <x:c r="E40" s="142"/>
      <x:c r="F40" s="142"/>
      <x:c r="G40" s="142"/>
      <x:c r="H40" s="142"/>
      <x:c r="I40" s="142"/>
      <x:c r="J40" s="142"/>
      <x:c r="K40" s="142"/>
      <x:c r="L40" s="142"/>
      <x:c r="M40" s="208"/>
      <x:c r="N40" s="208"/>
      <x:c r="O40" s="142"/>
      <x:c r="P40" s="142"/>
      <x:c r="Q40" s="142"/>
      <x:c r="R40" s="142"/>
      <x:c r="S40" s="142"/>
      <x:c r="T40" s="142"/>
      <x:c r="U40" s="142"/>
      <x:c r="V40" s="220"/>
      <x:c r="W40" s="142"/>
      <x:c r="X40" s="208"/>
      <x:c r="Y40" s="208"/>
      <x:c r="Z40" s="142"/>
      <x:c r="AA40" s="142"/>
      <x:c r="AB40" s="202" t="str">
        <x:f>IF(A40="","",IF(AND(B40&lt;&gt;"",D40&lt;&gt;"",F40&lt;&gt;"",H40&lt;&gt;"",M40&lt;&gt;"",N40&lt;&gt;"",Q40&lt;&gt;"",R40&lt;&gt;"",U40&lt;&gt;"",V40&lt;&gt;"",W40&lt;&gt;""),"PRONTO","PENDENTE"))</x:f>
      </x:c>
      <x:c r="AC40" s="214" t="str">
        <x:f>IF(A40="","",SUMIF('PARTICIPAÇÕES FONOGRAMA'!$A$5:$A$254,A40,'PARTICIPAÇÕES FONOGRAMA'!$I$5:$I$254))</x:f>
      </x:c>
      <x:c r="AD40" s="202" t="str">
        <x:f>IF(A40="","",IF(AC40=1,"OK 100%","CONFERIR"))</x:f>
      </x:c>
      <x:c r="AE40" s="142"/>
      <x:c r="AF40" s="142"/>
      <x:c r="AG40" s="142"/>
    </x:row>
    <x:row r="41" ht="19" customHeight="1">
      <x:c r="A41" s="142"/>
      <x:c r="B41" s="142"/>
      <x:c r="C41" s="142"/>
      <x:c r="D41" s="142"/>
      <x:c r="E41" s="142"/>
      <x:c r="F41" s="142"/>
      <x:c r="G41" s="142"/>
      <x:c r="H41" s="142"/>
      <x:c r="I41" s="142"/>
      <x:c r="J41" s="142"/>
      <x:c r="K41" s="142"/>
      <x:c r="L41" s="142"/>
      <x:c r="M41" s="208"/>
      <x:c r="N41" s="208"/>
      <x:c r="O41" s="142"/>
      <x:c r="P41" s="142"/>
      <x:c r="Q41" s="142"/>
      <x:c r="R41" s="142"/>
      <x:c r="S41" s="142"/>
      <x:c r="T41" s="142"/>
      <x:c r="U41" s="142"/>
      <x:c r="V41" s="220"/>
      <x:c r="W41" s="142"/>
      <x:c r="X41" s="208"/>
      <x:c r="Y41" s="208"/>
      <x:c r="Z41" s="142"/>
      <x:c r="AA41" s="142"/>
      <x:c r="AB41" s="202" t="str">
        <x:f>IF(A41="","",IF(AND(B41&lt;&gt;"",D41&lt;&gt;"",F41&lt;&gt;"",H41&lt;&gt;"",M41&lt;&gt;"",N41&lt;&gt;"",Q41&lt;&gt;"",R41&lt;&gt;"",U41&lt;&gt;"",V41&lt;&gt;"",W41&lt;&gt;""),"PRONTO","PENDENTE"))</x:f>
      </x:c>
      <x:c r="AC41" s="214" t="str">
        <x:f>IF(A41="","",SUMIF('PARTICIPAÇÕES FONOGRAMA'!$A$5:$A$254,A41,'PARTICIPAÇÕES FONOGRAMA'!$I$5:$I$254))</x:f>
      </x:c>
      <x:c r="AD41" s="202" t="str">
        <x:f>IF(A41="","",IF(AC41=1,"OK 100%","CONFERIR"))</x:f>
      </x:c>
      <x:c r="AE41" s="142"/>
      <x:c r="AF41" s="142"/>
      <x:c r="AG41" s="142"/>
    </x:row>
    <x:row r="42" ht="19" customHeight="1">
      <x:c r="A42" s="142"/>
      <x:c r="B42" s="142"/>
      <x:c r="C42" s="142"/>
      <x:c r="D42" s="142"/>
      <x:c r="E42" s="142"/>
      <x:c r="F42" s="142"/>
      <x:c r="G42" s="142"/>
      <x:c r="H42" s="142"/>
      <x:c r="I42" s="142"/>
      <x:c r="J42" s="142"/>
      <x:c r="K42" s="142"/>
      <x:c r="L42" s="142"/>
      <x:c r="M42" s="208"/>
      <x:c r="N42" s="208"/>
      <x:c r="O42" s="142"/>
      <x:c r="P42" s="142"/>
      <x:c r="Q42" s="142"/>
      <x:c r="R42" s="142"/>
      <x:c r="S42" s="142"/>
      <x:c r="T42" s="142"/>
      <x:c r="U42" s="142"/>
      <x:c r="V42" s="220"/>
      <x:c r="W42" s="142"/>
      <x:c r="X42" s="208"/>
      <x:c r="Y42" s="208"/>
      <x:c r="Z42" s="142"/>
      <x:c r="AA42" s="142"/>
      <x:c r="AB42" s="202" t="str">
        <x:f>IF(A42="","",IF(AND(B42&lt;&gt;"",D42&lt;&gt;"",F42&lt;&gt;"",H42&lt;&gt;"",M42&lt;&gt;"",N42&lt;&gt;"",Q42&lt;&gt;"",R42&lt;&gt;"",U42&lt;&gt;"",V42&lt;&gt;"",W42&lt;&gt;""),"PRONTO","PENDENTE"))</x:f>
      </x:c>
      <x:c r="AC42" s="214" t="str">
        <x:f>IF(A42="","",SUMIF('PARTICIPAÇÕES FONOGRAMA'!$A$5:$A$254,A42,'PARTICIPAÇÕES FONOGRAMA'!$I$5:$I$254))</x:f>
      </x:c>
      <x:c r="AD42" s="202" t="str">
        <x:f>IF(A42="","",IF(AC42=1,"OK 100%","CONFERIR"))</x:f>
      </x:c>
      <x:c r="AE42" s="142"/>
      <x:c r="AF42" s="142"/>
      <x:c r="AG42" s="142"/>
    </x:row>
    <x:row r="43" ht="19" customHeight="1">
      <x:c r="A43" s="142"/>
      <x:c r="B43" s="142"/>
      <x:c r="C43" s="142"/>
      <x:c r="D43" s="142"/>
      <x:c r="E43" s="142"/>
      <x:c r="F43" s="142"/>
      <x:c r="G43" s="142"/>
      <x:c r="H43" s="142"/>
      <x:c r="I43" s="142"/>
      <x:c r="J43" s="142"/>
      <x:c r="K43" s="142"/>
      <x:c r="L43" s="142"/>
      <x:c r="M43" s="208"/>
      <x:c r="N43" s="208"/>
      <x:c r="O43" s="142"/>
      <x:c r="P43" s="142"/>
      <x:c r="Q43" s="142"/>
      <x:c r="R43" s="142"/>
      <x:c r="S43" s="142"/>
      <x:c r="T43" s="142"/>
      <x:c r="U43" s="142"/>
      <x:c r="V43" s="220"/>
      <x:c r="W43" s="142"/>
      <x:c r="X43" s="208"/>
      <x:c r="Y43" s="208"/>
      <x:c r="Z43" s="142"/>
      <x:c r="AA43" s="142"/>
      <x:c r="AB43" s="202" t="str">
        <x:f>IF(A43="","",IF(AND(B43&lt;&gt;"",D43&lt;&gt;"",F43&lt;&gt;"",H43&lt;&gt;"",M43&lt;&gt;"",N43&lt;&gt;"",Q43&lt;&gt;"",R43&lt;&gt;"",U43&lt;&gt;"",V43&lt;&gt;"",W43&lt;&gt;""),"PRONTO","PENDENTE"))</x:f>
      </x:c>
      <x:c r="AC43" s="214" t="str">
        <x:f>IF(A43="","",SUMIF('PARTICIPAÇÕES FONOGRAMA'!$A$5:$A$254,A43,'PARTICIPAÇÕES FONOGRAMA'!$I$5:$I$254))</x:f>
      </x:c>
      <x:c r="AD43" s="202" t="str">
        <x:f>IF(A43="","",IF(AC43=1,"OK 100%","CONFERIR"))</x:f>
      </x:c>
      <x:c r="AE43" s="142"/>
      <x:c r="AF43" s="142"/>
      <x:c r="AG43" s="142"/>
    </x:row>
    <x:row r="44" ht="19" customHeight="1">
      <x:c r="A44" s="142"/>
      <x:c r="B44" s="142"/>
      <x:c r="C44" s="142"/>
      <x:c r="D44" s="142"/>
      <x:c r="E44" s="142"/>
      <x:c r="F44" s="142"/>
      <x:c r="G44" s="142"/>
      <x:c r="H44" s="142"/>
      <x:c r="I44" s="142"/>
      <x:c r="J44" s="142"/>
      <x:c r="K44" s="142"/>
      <x:c r="L44" s="142"/>
      <x:c r="M44" s="208"/>
      <x:c r="N44" s="208"/>
      <x:c r="O44" s="142"/>
      <x:c r="P44" s="142"/>
      <x:c r="Q44" s="142"/>
      <x:c r="R44" s="142"/>
      <x:c r="S44" s="142"/>
      <x:c r="T44" s="142"/>
      <x:c r="U44" s="142"/>
      <x:c r="V44" s="220"/>
      <x:c r="W44" s="142"/>
      <x:c r="X44" s="208"/>
      <x:c r="Y44" s="208"/>
      <x:c r="Z44" s="142"/>
      <x:c r="AA44" s="142"/>
      <x:c r="AB44" s="202" t="str">
        <x:f>IF(A44="","",IF(AND(B44&lt;&gt;"",D44&lt;&gt;"",F44&lt;&gt;"",H44&lt;&gt;"",M44&lt;&gt;"",N44&lt;&gt;"",Q44&lt;&gt;"",R44&lt;&gt;"",U44&lt;&gt;"",V44&lt;&gt;"",W44&lt;&gt;""),"PRONTO","PENDENTE"))</x:f>
      </x:c>
      <x:c r="AC44" s="214" t="str">
        <x:f>IF(A44="","",SUMIF('PARTICIPAÇÕES FONOGRAMA'!$A$5:$A$254,A44,'PARTICIPAÇÕES FONOGRAMA'!$I$5:$I$254))</x:f>
      </x:c>
      <x:c r="AD44" s="202" t="str">
        <x:f>IF(A44="","",IF(AC44=1,"OK 100%","CONFERIR"))</x:f>
      </x:c>
      <x:c r="AE44" s="142"/>
      <x:c r="AF44" s="142"/>
      <x:c r="AG44" s="142"/>
    </x:row>
    <x:row r="45" ht="19" customHeight="1">
      <x:c r="A45" s="142"/>
      <x:c r="B45" s="142"/>
      <x:c r="C45" s="142"/>
      <x:c r="D45" s="142"/>
      <x:c r="E45" s="142"/>
      <x:c r="F45" s="142"/>
      <x:c r="G45" s="142"/>
      <x:c r="H45" s="142"/>
      <x:c r="I45" s="142"/>
      <x:c r="J45" s="142"/>
      <x:c r="K45" s="142"/>
      <x:c r="L45" s="142"/>
      <x:c r="M45" s="208"/>
      <x:c r="N45" s="208"/>
      <x:c r="O45" s="142"/>
      <x:c r="P45" s="142"/>
      <x:c r="Q45" s="142"/>
      <x:c r="R45" s="142"/>
      <x:c r="S45" s="142"/>
      <x:c r="T45" s="142"/>
      <x:c r="U45" s="142"/>
      <x:c r="V45" s="220"/>
      <x:c r="W45" s="142"/>
      <x:c r="X45" s="208"/>
      <x:c r="Y45" s="208"/>
      <x:c r="Z45" s="142"/>
      <x:c r="AA45" s="142"/>
      <x:c r="AB45" s="202" t="str">
        <x:f>IF(A45="","",IF(AND(B45&lt;&gt;"",D45&lt;&gt;"",F45&lt;&gt;"",H45&lt;&gt;"",M45&lt;&gt;"",N45&lt;&gt;"",Q45&lt;&gt;"",R45&lt;&gt;"",U45&lt;&gt;"",V45&lt;&gt;"",W45&lt;&gt;""),"PRONTO","PENDENTE"))</x:f>
      </x:c>
      <x:c r="AC45" s="214" t="str">
        <x:f>IF(A45="","",SUMIF('PARTICIPAÇÕES FONOGRAMA'!$A$5:$A$254,A45,'PARTICIPAÇÕES FONOGRAMA'!$I$5:$I$254))</x:f>
      </x:c>
      <x:c r="AD45" s="202" t="str">
        <x:f>IF(A45="","",IF(AC45=1,"OK 100%","CONFERIR"))</x:f>
      </x:c>
      <x:c r="AE45" s="142"/>
      <x:c r="AF45" s="142"/>
      <x:c r="AG45" s="142"/>
    </x:row>
    <x:row r="46" ht="19" customHeight="1">
      <x:c r="A46" s="142"/>
      <x:c r="B46" s="142"/>
      <x:c r="C46" s="142"/>
      <x:c r="D46" s="142"/>
      <x:c r="E46" s="142"/>
      <x:c r="F46" s="142"/>
      <x:c r="G46" s="142"/>
      <x:c r="H46" s="142"/>
      <x:c r="I46" s="142"/>
      <x:c r="J46" s="142"/>
      <x:c r="K46" s="142"/>
      <x:c r="L46" s="142"/>
      <x:c r="M46" s="208"/>
      <x:c r="N46" s="208"/>
      <x:c r="O46" s="142"/>
      <x:c r="P46" s="142"/>
      <x:c r="Q46" s="142"/>
      <x:c r="R46" s="142"/>
      <x:c r="S46" s="142"/>
      <x:c r="T46" s="142"/>
      <x:c r="U46" s="142"/>
      <x:c r="V46" s="220"/>
      <x:c r="W46" s="142"/>
      <x:c r="X46" s="208"/>
      <x:c r="Y46" s="208"/>
      <x:c r="Z46" s="142"/>
      <x:c r="AA46" s="142"/>
      <x:c r="AB46" s="202" t="str">
        <x:f>IF(A46="","",IF(AND(B46&lt;&gt;"",D46&lt;&gt;"",F46&lt;&gt;"",H46&lt;&gt;"",M46&lt;&gt;"",N46&lt;&gt;"",Q46&lt;&gt;"",R46&lt;&gt;"",U46&lt;&gt;"",V46&lt;&gt;"",W46&lt;&gt;""),"PRONTO","PENDENTE"))</x:f>
      </x:c>
      <x:c r="AC46" s="214" t="str">
        <x:f>IF(A46="","",SUMIF('PARTICIPAÇÕES FONOGRAMA'!$A$5:$A$254,A46,'PARTICIPAÇÕES FONOGRAMA'!$I$5:$I$254))</x:f>
      </x:c>
      <x:c r="AD46" s="202" t="str">
        <x:f>IF(A46="","",IF(AC46=1,"OK 100%","CONFERIR"))</x:f>
      </x:c>
      <x:c r="AE46" s="142"/>
      <x:c r="AF46" s="142"/>
      <x:c r="AG46" s="142"/>
    </x:row>
    <x:row r="47" ht="19" customHeight="1">
      <x:c r="A47" s="142"/>
      <x:c r="B47" s="142"/>
      <x:c r="C47" s="142"/>
      <x:c r="D47" s="142"/>
      <x:c r="E47" s="142"/>
      <x:c r="F47" s="142"/>
      <x:c r="G47" s="142"/>
      <x:c r="H47" s="142"/>
      <x:c r="I47" s="142"/>
      <x:c r="J47" s="142"/>
      <x:c r="K47" s="142"/>
      <x:c r="L47" s="142"/>
      <x:c r="M47" s="208"/>
      <x:c r="N47" s="208"/>
      <x:c r="O47" s="142"/>
      <x:c r="P47" s="142"/>
      <x:c r="Q47" s="142"/>
      <x:c r="R47" s="142"/>
      <x:c r="S47" s="142"/>
      <x:c r="T47" s="142"/>
      <x:c r="U47" s="142"/>
      <x:c r="V47" s="220"/>
      <x:c r="W47" s="142"/>
      <x:c r="X47" s="208"/>
      <x:c r="Y47" s="208"/>
      <x:c r="Z47" s="142"/>
      <x:c r="AA47" s="142"/>
      <x:c r="AB47" s="202" t="str">
        <x:f>IF(A47="","",IF(AND(B47&lt;&gt;"",D47&lt;&gt;"",F47&lt;&gt;"",H47&lt;&gt;"",M47&lt;&gt;"",N47&lt;&gt;"",Q47&lt;&gt;"",R47&lt;&gt;"",U47&lt;&gt;"",V47&lt;&gt;"",W47&lt;&gt;""),"PRONTO","PENDENTE"))</x:f>
      </x:c>
      <x:c r="AC47" s="214" t="str">
        <x:f>IF(A47="","",SUMIF('PARTICIPAÇÕES FONOGRAMA'!$A$5:$A$254,A47,'PARTICIPAÇÕES FONOGRAMA'!$I$5:$I$254))</x:f>
      </x:c>
      <x:c r="AD47" s="202" t="str">
        <x:f>IF(A47="","",IF(AC47=1,"OK 100%","CONFERIR"))</x:f>
      </x:c>
      <x:c r="AE47" s="142"/>
      <x:c r="AF47" s="142"/>
      <x:c r="AG47" s="142"/>
    </x:row>
    <x:row r="48" ht="19" customHeight="1">
      <x:c r="A48" s="142"/>
      <x:c r="B48" s="142"/>
      <x:c r="C48" s="142"/>
      <x:c r="D48" s="142"/>
      <x:c r="E48" s="142"/>
      <x:c r="F48" s="142"/>
      <x:c r="G48" s="142"/>
      <x:c r="H48" s="142"/>
      <x:c r="I48" s="142"/>
      <x:c r="J48" s="142"/>
      <x:c r="K48" s="142"/>
      <x:c r="L48" s="142"/>
      <x:c r="M48" s="208"/>
      <x:c r="N48" s="208"/>
      <x:c r="O48" s="142"/>
      <x:c r="P48" s="142"/>
      <x:c r="Q48" s="142"/>
      <x:c r="R48" s="142"/>
      <x:c r="S48" s="142"/>
      <x:c r="T48" s="142"/>
      <x:c r="U48" s="142"/>
      <x:c r="V48" s="220"/>
      <x:c r="W48" s="142"/>
      <x:c r="X48" s="208"/>
      <x:c r="Y48" s="208"/>
      <x:c r="Z48" s="142"/>
      <x:c r="AA48" s="142"/>
      <x:c r="AB48" s="202" t="str">
        <x:f>IF(A48="","",IF(AND(B48&lt;&gt;"",D48&lt;&gt;"",F48&lt;&gt;"",H48&lt;&gt;"",M48&lt;&gt;"",N48&lt;&gt;"",Q48&lt;&gt;"",R48&lt;&gt;"",U48&lt;&gt;"",V48&lt;&gt;"",W48&lt;&gt;""),"PRONTO","PENDENTE"))</x:f>
      </x:c>
      <x:c r="AC48" s="214" t="str">
        <x:f>IF(A48="","",SUMIF('PARTICIPAÇÕES FONOGRAMA'!$A$5:$A$254,A48,'PARTICIPAÇÕES FONOGRAMA'!$I$5:$I$254))</x:f>
      </x:c>
      <x:c r="AD48" s="202" t="str">
        <x:f>IF(A48="","",IF(AC48=1,"OK 100%","CONFERIR"))</x:f>
      </x:c>
      <x:c r="AE48" s="142"/>
      <x:c r="AF48" s="142"/>
      <x:c r="AG48" s="142"/>
    </x:row>
    <x:row r="49" ht="19" customHeight="1">
      <x:c r="A49" s="142"/>
      <x:c r="B49" s="142"/>
      <x:c r="C49" s="142"/>
      <x:c r="D49" s="142"/>
      <x:c r="E49" s="142"/>
      <x:c r="F49" s="142"/>
      <x:c r="G49" s="142"/>
      <x:c r="H49" s="142"/>
      <x:c r="I49" s="142"/>
      <x:c r="J49" s="142"/>
      <x:c r="K49" s="142"/>
      <x:c r="L49" s="142"/>
      <x:c r="M49" s="208"/>
      <x:c r="N49" s="208"/>
      <x:c r="O49" s="142"/>
      <x:c r="P49" s="142"/>
      <x:c r="Q49" s="142"/>
      <x:c r="R49" s="142"/>
      <x:c r="S49" s="142"/>
      <x:c r="T49" s="142"/>
      <x:c r="U49" s="142"/>
      <x:c r="V49" s="220"/>
      <x:c r="W49" s="142"/>
      <x:c r="X49" s="208"/>
      <x:c r="Y49" s="208"/>
      <x:c r="Z49" s="142"/>
      <x:c r="AA49" s="142"/>
      <x:c r="AB49" s="202" t="str">
        <x:f>IF(A49="","",IF(AND(B49&lt;&gt;"",D49&lt;&gt;"",F49&lt;&gt;"",H49&lt;&gt;"",M49&lt;&gt;"",N49&lt;&gt;"",Q49&lt;&gt;"",R49&lt;&gt;"",U49&lt;&gt;"",V49&lt;&gt;"",W49&lt;&gt;""),"PRONTO","PENDENTE"))</x:f>
      </x:c>
      <x:c r="AC49" s="214" t="str">
        <x:f>IF(A49="","",SUMIF('PARTICIPAÇÕES FONOGRAMA'!$A$5:$A$254,A49,'PARTICIPAÇÕES FONOGRAMA'!$I$5:$I$254))</x:f>
      </x:c>
      <x:c r="AD49" s="202" t="str">
        <x:f>IF(A49="","",IF(AC49=1,"OK 100%","CONFERIR"))</x:f>
      </x:c>
      <x:c r="AE49" s="142"/>
      <x:c r="AF49" s="142"/>
      <x:c r="AG49" s="142"/>
    </x:row>
    <x:row r="50" ht="19" customHeight="1">
      <x:c r="A50" s="142"/>
      <x:c r="B50" s="142"/>
      <x:c r="C50" s="142"/>
      <x:c r="D50" s="142"/>
      <x:c r="E50" s="142"/>
      <x:c r="F50" s="142"/>
      <x:c r="G50" s="142"/>
      <x:c r="H50" s="142"/>
      <x:c r="I50" s="142"/>
      <x:c r="J50" s="142"/>
      <x:c r="K50" s="142"/>
      <x:c r="L50" s="142"/>
      <x:c r="M50" s="208"/>
      <x:c r="N50" s="208"/>
      <x:c r="O50" s="142"/>
      <x:c r="P50" s="142"/>
      <x:c r="Q50" s="142"/>
      <x:c r="R50" s="142"/>
      <x:c r="S50" s="142"/>
      <x:c r="T50" s="142"/>
      <x:c r="U50" s="142"/>
      <x:c r="V50" s="220"/>
      <x:c r="W50" s="142"/>
      <x:c r="X50" s="208"/>
      <x:c r="Y50" s="208"/>
      <x:c r="Z50" s="142"/>
      <x:c r="AA50" s="142"/>
      <x:c r="AB50" s="202" t="str">
        <x:f>IF(A50="","",IF(AND(B50&lt;&gt;"",D50&lt;&gt;"",F50&lt;&gt;"",H50&lt;&gt;"",M50&lt;&gt;"",N50&lt;&gt;"",Q50&lt;&gt;"",R50&lt;&gt;"",U50&lt;&gt;"",V50&lt;&gt;"",W50&lt;&gt;""),"PRONTO","PENDENTE"))</x:f>
      </x:c>
      <x:c r="AC50" s="214" t="str">
        <x:f>IF(A50="","",SUMIF('PARTICIPAÇÕES FONOGRAMA'!$A$5:$A$254,A50,'PARTICIPAÇÕES FONOGRAMA'!$I$5:$I$254))</x:f>
      </x:c>
      <x:c r="AD50" s="202" t="str">
        <x:f>IF(A50="","",IF(AC50=1,"OK 100%","CONFERIR"))</x:f>
      </x:c>
      <x:c r="AE50" s="142"/>
      <x:c r="AF50" s="142"/>
      <x:c r="AG50" s="142"/>
    </x:row>
    <x:row r="51" ht="19" customHeight="1">
      <x:c r="A51" s="142"/>
      <x:c r="B51" s="142"/>
      <x:c r="C51" s="142"/>
      <x:c r="D51" s="142"/>
      <x:c r="E51" s="142"/>
      <x:c r="F51" s="142"/>
      <x:c r="G51" s="142"/>
      <x:c r="H51" s="142"/>
      <x:c r="I51" s="142"/>
      <x:c r="J51" s="142"/>
      <x:c r="K51" s="142"/>
      <x:c r="L51" s="142"/>
      <x:c r="M51" s="208"/>
      <x:c r="N51" s="208"/>
      <x:c r="O51" s="142"/>
      <x:c r="P51" s="142"/>
      <x:c r="Q51" s="142"/>
      <x:c r="R51" s="142"/>
      <x:c r="S51" s="142"/>
      <x:c r="T51" s="142"/>
      <x:c r="U51" s="142"/>
      <x:c r="V51" s="220"/>
      <x:c r="W51" s="142"/>
      <x:c r="X51" s="208"/>
      <x:c r="Y51" s="208"/>
      <x:c r="Z51" s="142"/>
      <x:c r="AA51" s="142"/>
      <x:c r="AB51" s="202" t="str">
        <x:f>IF(A51="","",IF(AND(B51&lt;&gt;"",D51&lt;&gt;"",F51&lt;&gt;"",H51&lt;&gt;"",M51&lt;&gt;"",N51&lt;&gt;"",Q51&lt;&gt;"",R51&lt;&gt;"",U51&lt;&gt;"",V51&lt;&gt;"",W51&lt;&gt;""),"PRONTO","PENDENTE"))</x:f>
      </x:c>
      <x:c r="AC51" s="214" t="str">
        <x:f>IF(A51="","",SUMIF('PARTICIPAÇÕES FONOGRAMA'!$A$5:$A$254,A51,'PARTICIPAÇÕES FONOGRAMA'!$I$5:$I$254))</x:f>
      </x:c>
      <x:c r="AD51" s="202" t="str">
        <x:f>IF(A51="","",IF(AC51=1,"OK 100%","CONFERIR"))</x:f>
      </x:c>
      <x:c r="AE51" s="142"/>
      <x:c r="AF51" s="142"/>
      <x:c r="AG51" s="142"/>
    </x:row>
    <x:row r="52" ht="19" customHeight="1">
      <x:c r="A52" s="142"/>
      <x:c r="B52" s="142"/>
      <x:c r="C52" s="142"/>
      <x:c r="D52" s="142"/>
      <x:c r="E52" s="142"/>
      <x:c r="F52" s="142"/>
      <x:c r="G52" s="142"/>
      <x:c r="H52" s="142"/>
      <x:c r="I52" s="142"/>
      <x:c r="J52" s="142"/>
      <x:c r="K52" s="142"/>
      <x:c r="L52" s="142"/>
      <x:c r="M52" s="208"/>
      <x:c r="N52" s="208"/>
      <x:c r="O52" s="142"/>
      <x:c r="P52" s="142"/>
      <x:c r="Q52" s="142"/>
      <x:c r="R52" s="142"/>
      <x:c r="S52" s="142"/>
      <x:c r="T52" s="142"/>
      <x:c r="U52" s="142"/>
      <x:c r="V52" s="220"/>
      <x:c r="W52" s="142"/>
      <x:c r="X52" s="208"/>
      <x:c r="Y52" s="208"/>
      <x:c r="Z52" s="142"/>
      <x:c r="AA52" s="142"/>
      <x:c r="AB52" s="202" t="str">
        <x:f>IF(A52="","",IF(AND(B52&lt;&gt;"",D52&lt;&gt;"",F52&lt;&gt;"",H52&lt;&gt;"",M52&lt;&gt;"",N52&lt;&gt;"",Q52&lt;&gt;"",R52&lt;&gt;"",U52&lt;&gt;"",V52&lt;&gt;"",W52&lt;&gt;""),"PRONTO","PENDENTE"))</x:f>
      </x:c>
      <x:c r="AC52" s="214" t="str">
        <x:f>IF(A52="","",SUMIF('PARTICIPAÇÕES FONOGRAMA'!$A$5:$A$254,A52,'PARTICIPAÇÕES FONOGRAMA'!$I$5:$I$254))</x:f>
      </x:c>
      <x:c r="AD52" s="202" t="str">
        <x:f>IF(A52="","",IF(AC52=1,"OK 100%","CONFERIR"))</x:f>
      </x:c>
      <x:c r="AE52" s="142"/>
      <x:c r="AF52" s="142"/>
      <x:c r="AG52" s="142"/>
    </x:row>
    <x:row r="53" ht="19" customHeight="1">
      <x:c r="A53" s="142"/>
      <x:c r="B53" s="142"/>
      <x:c r="C53" s="142"/>
      <x:c r="D53" s="142"/>
      <x:c r="E53" s="142"/>
      <x:c r="F53" s="142"/>
      <x:c r="G53" s="142"/>
      <x:c r="H53" s="142"/>
      <x:c r="I53" s="142"/>
      <x:c r="J53" s="142"/>
      <x:c r="K53" s="142"/>
      <x:c r="L53" s="142"/>
      <x:c r="M53" s="208"/>
      <x:c r="N53" s="208"/>
      <x:c r="O53" s="142"/>
      <x:c r="P53" s="142"/>
      <x:c r="Q53" s="142"/>
      <x:c r="R53" s="142"/>
      <x:c r="S53" s="142"/>
      <x:c r="T53" s="142"/>
      <x:c r="U53" s="142"/>
      <x:c r="V53" s="220"/>
      <x:c r="W53" s="142"/>
      <x:c r="X53" s="208"/>
      <x:c r="Y53" s="208"/>
      <x:c r="Z53" s="142"/>
      <x:c r="AA53" s="142"/>
      <x:c r="AB53" s="202" t="str">
        <x:f>IF(A53="","",IF(AND(B53&lt;&gt;"",D53&lt;&gt;"",F53&lt;&gt;"",H53&lt;&gt;"",M53&lt;&gt;"",N53&lt;&gt;"",Q53&lt;&gt;"",R53&lt;&gt;"",U53&lt;&gt;"",V53&lt;&gt;"",W53&lt;&gt;""),"PRONTO","PENDENTE"))</x:f>
      </x:c>
      <x:c r="AC53" s="214" t="str">
        <x:f>IF(A53="","",SUMIF('PARTICIPAÇÕES FONOGRAMA'!$A$5:$A$254,A53,'PARTICIPAÇÕES FONOGRAMA'!$I$5:$I$254))</x:f>
      </x:c>
      <x:c r="AD53" s="202" t="str">
        <x:f>IF(A53="","",IF(AC53=1,"OK 100%","CONFERIR"))</x:f>
      </x:c>
      <x:c r="AE53" s="142"/>
      <x:c r="AF53" s="142"/>
      <x:c r="AG53" s="142"/>
    </x:row>
    <x:row r="54" ht="19" customHeight="1">
      <x:c r="A54" s="142"/>
      <x:c r="B54" s="142"/>
      <x:c r="C54" s="142"/>
      <x:c r="D54" s="142"/>
      <x:c r="E54" s="142"/>
      <x:c r="F54" s="142"/>
      <x:c r="G54" s="142"/>
      <x:c r="H54" s="142"/>
      <x:c r="I54" s="142"/>
      <x:c r="J54" s="142"/>
      <x:c r="K54" s="142"/>
      <x:c r="L54" s="142"/>
      <x:c r="M54" s="208"/>
      <x:c r="N54" s="208"/>
      <x:c r="O54" s="142"/>
      <x:c r="P54" s="142"/>
      <x:c r="Q54" s="142"/>
      <x:c r="R54" s="142"/>
      <x:c r="S54" s="142"/>
      <x:c r="T54" s="142"/>
      <x:c r="U54" s="142"/>
      <x:c r="V54" s="220"/>
      <x:c r="W54" s="142"/>
      <x:c r="X54" s="208"/>
      <x:c r="Y54" s="208"/>
      <x:c r="Z54" s="142"/>
      <x:c r="AA54" s="142"/>
      <x:c r="AB54" s="202" t="str">
        <x:f>IF(A54="","",IF(AND(B54&lt;&gt;"",D54&lt;&gt;"",F54&lt;&gt;"",H54&lt;&gt;"",M54&lt;&gt;"",N54&lt;&gt;"",Q54&lt;&gt;"",R54&lt;&gt;"",U54&lt;&gt;"",V54&lt;&gt;"",W54&lt;&gt;""),"PRONTO","PENDENTE"))</x:f>
      </x:c>
      <x:c r="AC54" s="214" t="str">
        <x:f>IF(A54="","",SUMIF('PARTICIPAÇÕES FONOGRAMA'!$A$5:$A$254,A54,'PARTICIPAÇÕES FONOGRAMA'!$I$5:$I$254))</x:f>
      </x:c>
      <x:c r="AD54" s="202" t="str">
        <x:f>IF(A54="","",IF(AC54=1,"OK 100%","CONFERIR"))</x:f>
      </x:c>
      <x:c r="AE54" s="142"/>
      <x:c r="AF54" s="142"/>
      <x:c r="AG54" s="142"/>
    </x:row>
    <x:row r="55" ht="19" customHeight="1">
      <x:c r="A55" s="142"/>
      <x:c r="B55" s="142"/>
      <x:c r="C55" s="142"/>
      <x:c r="D55" s="142"/>
      <x:c r="E55" s="142"/>
      <x:c r="F55" s="142"/>
      <x:c r="G55" s="142"/>
      <x:c r="H55" s="142"/>
      <x:c r="I55" s="142"/>
      <x:c r="J55" s="142"/>
      <x:c r="K55" s="142"/>
      <x:c r="L55" s="142"/>
      <x:c r="M55" s="208"/>
      <x:c r="N55" s="208"/>
      <x:c r="O55" s="142"/>
      <x:c r="P55" s="142"/>
      <x:c r="Q55" s="142"/>
      <x:c r="R55" s="142"/>
      <x:c r="S55" s="142"/>
      <x:c r="T55" s="142"/>
      <x:c r="U55" s="142"/>
      <x:c r="V55" s="220"/>
      <x:c r="W55" s="142"/>
      <x:c r="X55" s="208"/>
      <x:c r="Y55" s="208"/>
      <x:c r="Z55" s="142"/>
      <x:c r="AA55" s="142"/>
      <x:c r="AB55" s="202" t="str">
        <x:f>IF(A55="","",IF(AND(B55&lt;&gt;"",D55&lt;&gt;"",F55&lt;&gt;"",H55&lt;&gt;"",M55&lt;&gt;"",N55&lt;&gt;"",Q55&lt;&gt;"",R55&lt;&gt;"",U55&lt;&gt;"",V55&lt;&gt;"",W55&lt;&gt;""),"PRONTO","PENDENTE"))</x:f>
      </x:c>
      <x:c r="AC55" s="214" t="str">
        <x:f>IF(A55="","",SUMIF('PARTICIPAÇÕES FONOGRAMA'!$A$5:$A$254,A55,'PARTICIPAÇÕES FONOGRAMA'!$I$5:$I$254))</x:f>
      </x:c>
      <x:c r="AD55" s="202" t="str">
        <x:f>IF(A55="","",IF(AC55=1,"OK 100%","CONFERIR"))</x:f>
      </x:c>
      <x:c r="AE55" s="142"/>
      <x:c r="AF55" s="142"/>
      <x:c r="AG55" s="142"/>
    </x:row>
    <x:row r="56" ht="19" customHeight="1">
      <x:c r="A56" s="142"/>
      <x:c r="B56" s="142"/>
      <x:c r="C56" s="142"/>
      <x:c r="D56" s="142"/>
      <x:c r="E56" s="142"/>
      <x:c r="F56" s="142"/>
      <x:c r="G56" s="142"/>
      <x:c r="H56" s="142"/>
      <x:c r="I56" s="142"/>
      <x:c r="J56" s="142"/>
      <x:c r="K56" s="142"/>
      <x:c r="L56" s="142"/>
      <x:c r="M56" s="208"/>
      <x:c r="N56" s="208"/>
      <x:c r="O56" s="142"/>
      <x:c r="P56" s="142"/>
      <x:c r="Q56" s="142"/>
      <x:c r="R56" s="142"/>
      <x:c r="S56" s="142"/>
      <x:c r="T56" s="142"/>
      <x:c r="U56" s="142"/>
      <x:c r="V56" s="220"/>
      <x:c r="W56" s="142"/>
      <x:c r="X56" s="208"/>
      <x:c r="Y56" s="208"/>
      <x:c r="Z56" s="142"/>
      <x:c r="AA56" s="142"/>
      <x:c r="AB56" s="202" t="str">
        <x:f>IF(A56="","",IF(AND(B56&lt;&gt;"",D56&lt;&gt;"",F56&lt;&gt;"",H56&lt;&gt;"",M56&lt;&gt;"",N56&lt;&gt;"",Q56&lt;&gt;"",R56&lt;&gt;"",U56&lt;&gt;"",V56&lt;&gt;"",W56&lt;&gt;""),"PRONTO","PENDENTE"))</x:f>
      </x:c>
      <x:c r="AC56" s="214" t="str">
        <x:f>IF(A56="","",SUMIF('PARTICIPAÇÕES FONOGRAMA'!$A$5:$A$254,A56,'PARTICIPAÇÕES FONOGRAMA'!$I$5:$I$254))</x:f>
      </x:c>
      <x:c r="AD56" s="202" t="str">
        <x:f>IF(A56="","",IF(AC56=1,"OK 100%","CONFERIR"))</x:f>
      </x:c>
      <x:c r="AE56" s="142"/>
      <x:c r="AF56" s="142"/>
      <x:c r="AG56" s="142"/>
    </x:row>
    <x:row r="57" ht="19" customHeight="1">
      <x:c r="A57" s="142"/>
      <x:c r="B57" s="142"/>
      <x:c r="C57" s="142"/>
      <x:c r="D57" s="142"/>
      <x:c r="E57" s="142"/>
      <x:c r="F57" s="142"/>
      <x:c r="G57" s="142"/>
      <x:c r="H57" s="142"/>
      <x:c r="I57" s="142"/>
      <x:c r="J57" s="142"/>
      <x:c r="K57" s="142"/>
      <x:c r="L57" s="142"/>
      <x:c r="M57" s="208"/>
      <x:c r="N57" s="208"/>
      <x:c r="O57" s="142"/>
      <x:c r="P57" s="142"/>
      <x:c r="Q57" s="142"/>
      <x:c r="R57" s="142"/>
      <x:c r="S57" s="142"/>
      <x:c r="T57" s="142"/>
      <x:c r="U57" s="142"/>
      <x:c r="V57" s="220"/>
      <x:c r="W57" s="142"/>
      <x:c r="X57" s="208"/>
      <x:c r="Y57" s="208"/>
      <x:c r="Z57" s="142"/>
      <x:c r="AA57" s="142"/>
      <x:c r="AB57" s="202" t="str">
        <x:f>IF(A57="","",IF(AND(B57&lt;&gt;"",D57&lt;&gt;"",F57&lt;&gt;"",H57&lt;&gt;"",M57&lt;&gt;"",N57&lt;&gt;"",Q57&lt;&gt;"",R57&lt;&gt;"",U57&lt;&gt;"",V57&lt;&gt;"",W57&lt;&gt;""),"PRONTO","PENDENTE"))</x:f>
      </x:c>
      <x:c r="AC57" s="214" t="str">
        <x:f>IF(A57="","",SUMIF('PARTICIPAÇÕES FONOGRAMA'!$A$5:$A$254,A57,'PARTICIPAÇÕES FONOGRAMA'!$I$5:$I$254))</x:f>
      </x:c>
      <x:c r="AD57" s="202" t="str">
        <x:f>IF(A57="","",IF(AC57=1,"OK 100%","CONFERIR"))</x:f>
      </x:c>
      <x:c r="AE57" s="142"/>
      <x:c r="AF57" s="142"/>
      <x:c r="AG57" s="142"/>
    </x:row>
    <x:row r="58" ht="19" customHeight="1">
      <x:c r="A58" s="142"/>
      <x:c r="B58" s="142"/>
      <x:c r="C58" s="142"/>
      <x:c r="D58" s="142"/>
      <x:c r="E58" s="142"/>
      <x:c r="F58" s="142"/>
      <x:c r="G58" s="142"/>
      <x:c r="H58" s="142"/>
      <x:c r="I58" s="142"/>
      <x:c r="J58" s="142"/>
      <x:c r="K58" s="142"/>
      <x:c r="L58" s="142"/>
      <x:c r="M58" s="208"/>
      <x:c r="N58" s="208"/>
      <x:c r="O58" s="142"/>
      <x:c r="P58" s="142"/>
      <x:c r="Q58" s="142"/>
      <x:c r="R58" s="142"/>
      <x:c r="S58" s="142"/>
      <x:c r="T58" s="142"/>
      <x:c r="U58" s="142"/>
      <x:c r="V58" s="220"/>
      <x:c r="W58" s="142"/>
      <x:c r="X58" s="208"/>
      <x:c r="Y58" s="208"/>
      <x:c r="Z58" s="142"/>
      <x:c r="AA58" s="142"/>
      <x:c r="AB58" s="202" t="str">
        <x:f>IF(A58="","",IF(AND(B58&lt;&gt;"",D58&lt;&gt;"",F58&lt;&gt;"",H58&lt;&gt;"",M58&lt;&gt;"",N58&lt;&gt;"",Q58&lt;&gt;"",R58&lt;&gt;"",U58&lt;&gt;"",V58&lt;&gt;"",W58&lt;&gt;""),"PRONTO","PENDENTE"))</x:f>
      </x:c>
      <x:c r="AC58" s="214" t="str">
        <x:f>IF(A58="","",SUMIF('PARTICIPAÇÕES FONOGRAMA'!$A$5:$A$254,A58,'PARTICIPAÇÕES FONOGRAMA'!$I$5:$I$254))</x:f>
      </x:c>
      <x:c r="AD58" s="202" t="str">
        <x:f>IF(A58="","",IF(AC58=1,"OK 100%","CONFERIR"))</x:f>
      </x:c>
      <x:c r="AE58" s="142"/>
      <x:c r="AF58" s="142"/>
      <x:c r="AG58" s="142"/>
    </x:row>
    <x:row r="59" ht="19" customHeight="1">
      <x:c r="A59" s="142"/>
      <x:c r="B59" s="142"/>
      <x:c r="C59" s="142"/>
      <x:c r="D59" s="142"/>
      <x:c r="E59" s="142"/>
      <x:c r="F59" s="142"/>
      <x:c r="G59" s="142"/>
      <x:c r="H59" s="142"/>
      <x:c r="I59" s="142"/>
      <x:c r="J59" s="142"/>
      <x:c r="K59" s="142"/>
      <x:c r="L59" s="142"/>
      <x:c r="M59" s="208"/>
      <x:c r="N59" s="208"/>
      <x:c r="O59" s="142"/>
      <x:c r="P59" s="142"/>
      <x:c r="Q59" s="142"/>
      <x:c r="R59" s="142"/>
      <x:c r="S59" s="142"/>
      <x:c r="T59" s="142"/>
      <x:c r="U59" s="142"/>
      <x:c r="V59" s="220"/>
      <x:c r="W59" s="142"/>
      <x:c r="X59" s="208"/>
      <x:c r="Y59" s="208"/>
      <x:c r="Z59" s="142"/>
      <x:c r="AA59" s="142"/>
      <x:c r="AB59" s="202" t="str">
        <x:f>IF(A59="","",IF(AND(B59&lt;&gt;"",D59&lt;&gt;"",F59&lt;&gt;"",H59&lt;&gt;"",M59&lt;&gt;"",N59&lt;&gt;"",Q59&lt;&gt;"",R59&lt;&gt;"",U59&lt;&gt;"",V59&lt;&gt;"",W59&lt;&gt;""),"PRONTO","PENDENTE"))</x:f>
      </x:c>
      <x:c r="AC59" s="214" t="str">
        <x:f>IF(A59="","",SUMIF('PARTICIPAÇÕES FONOGRAMA'!$A$5:$A$254,A59,'PARTICIPAÇÕES FONOGRAMA'!$I$5:$I$254))</x:f>
      </x:c>
      <x:c r="AD59" s="202" t="str">
        <x:f>IF(A59="","",IF(AC59=1,"OK 100%","CONFERIR"))</x:f>
      </x:c>
      <x:c r="AE59" s="142"/>
      <x:c r="AF59" s="142"/>
      <x:c r="AG59" s="142"/>
    </x:row>
    <x:row r="60" ht="19" customHeight="1">
      <x:c r="A60" s="142"/>
      <x:c r="B60" s="142"/>
      <x:c r="C60" s="142"/>
      <x:c r="D60" s="142"/>
      <x:c r="E60" s="142"/>
      <x:c r="F60" s="142"/>
      <x:c r="G60" s="142"/>
      <x:c r="H60" s="142"/>
      <x:c r="I60" s="142"/>
      <x:c r="J60" s="142"/>
      <x:c r="K60" s="142"/>
      <x:c r="L60" s="142"/>
      <x:c r="M60" s="208"/>
      <x:c r="N60" s="208"/>
      <x:c r="O60" s="142"/>
      <x:c r="P60" s="142"/>
      <x:c r="Q60" s="142"/>
      <x:c r="R60" s="142"/>
      <x:c r="S60" s="142"/>
      <x:c r="T60" s="142"/>
      <x:c r="U60" s="142"/>
      <x:c r="V60" s="220"/>
      <x:c r="W60" s="142"/>
      <x:c r="X60" s="208"/>
      <x:c r="Y60" s="208"/>
      <x:c r="Z60" s="142"/>
      <x:c r="AA60" s="142"/>
      <x:c r="AB60" s="202" t="str">
        <x:f>IF(A60="","",IF(AND(B60&lt;&gt;"",D60&lt;&gt;"",F60&lt;&gt;"",H60&lt;&gt;"",M60&lt;&gt;"",N60&lt;&gt;"",Q60&lt;&gt;"",R60&lt;&gt;"",U60&lt;&gt;"",V60&lt;&gt;"",W60&lt;&gt;""),"PRONTO","PENDENTE"))</x:f>
      </x:c>
      <x:c r="AC60" s="214" t="str">
        <x:f>IF(A60="","",SUMIF('PARTICIPAÇÕES FONOGRAMA'!$A$5:$A$254,A60,'PARTICIPAÇÕES FONOGRAMA'!$I$5:$I$254))</x:f>
      </x:c>
      <x:c r="AD60" s="202" t="str">
        <x:f>IF(A60="","",IF(AC60=1,"OK 100%","CONFERIR"))</x:f>
      </x:c>
      <x:c r="AE60" s="142"/>
      <x:c r="AF60" s="142"/>
      <x:c r="AG60" s="142"/>
    </x:row>
    <x:row r="61" ht="19" customHeight="1">
      <x:c r="A61" s="142"/>
      <x:c r="B61" s="142"/>
      <x:c r="C61" s="142"/>
      <x:c r="D61" s="142"/>
      <x:c r="E61" s="142"/>
      <x:c r="F61" s="142"/>
      <x:c r="G61" s="142"/>
      <x:c r="H61" s="142"/>
      <x:c r="I61" s="142"/>
      <x:c r="J61" s="142"/>
      <x:c r="K61" s="142"/>
      <x:c r="L61" s="142"/>
      <x:c r="M61" s="208"/>
      <x:c r="N61" s="208"/>
      <x:c r="O61" s="142"/>
      <x:c r="P61" s="142"/>
      <x:c r="Q61" s="142"/>
      <x:c r="R61" s="142"/>
      <x:c r="S61" s="142"/>
      <x:c r="T61" s="142"/>
      <x:c r="U61" s="142"/>
      <x:c r="V61" s="220"/>
      <x:c r="W61" s="142"/>
      <x:c r="X61" s="208"/>
      <x:c r="Y61" s="208"/>
      <x:c r="Z61" s="142"/>
      <x:c r="AA61" s="142"/>
      <x:c r="AB61" s="202" t="str">
        <x:f>IF(A61="","",IF(AND(B61&lt;&gt;"",D61&lt;&gt;"",F61&lt;&gt;"",H61&lt;&gt;"",M61&lt;&gt;"",N61&lt;&gt;"",Q61&lt;&gt;"",R61&lt;&gt;"",U61&lt;&gt;"",V61&lt;&gt;"",W61&lt;&gt;""),"PRONTO","PENDENTE"))</x:f>
      </x:c>
      <x:c r="AC61" s="214" t="str">
        <x:f>IF(A61="","",SUMIF('PARTICIPAÇÕES FONOGRAMA'!$A$5:$A$254,A61,'PARTICIPAÇÕES FONOGRAMA'!$I$5:$I$254))</x:f>
      </x:c>
      <x:c r="AD61" s="202" t="str">
        <x:f>IF(A61="","",IF(AC61=1,"OK 100%","CONFERIR"))</x:f>
      </x:c>
      <x:c r="AE61" s="142"/>
      <x:c r="AF61" s="142"/>
      <x:c r="AG61" s="142"/>
    </x:row>
    <x:row r="62" ht="19" customHeight="1">
      <x:c r="A62" s="142"/>
      <x:c r="B62" s="142"/>
      <x:c r="C62" s="142"/>
      <x:c r="D62" s="142"/>
      <x:c r="E62" s="142"/>
      <x:c r="F62" s="142"/>
      <x:c r="G62" s="142"/>
      <x:c r="H62" s="142"/>
      <x:c r="I62" s="142"/>
      <x:c r="J62" s="142"/>
      <x:c r="K62" s="142"/>
      <x:c r="L62" s="142"/>
      <x:c r="M62" s="208"/>
      <x:c r="N62" s="208"/>
      <x:c r="O62" s="142"/>
      <x:c r="P62" s="142"/>
      <x:c r="Q62" s="142"/>
      <x:c r="R62" s="142"/>
      <x:c r="S62" s="142"/>
      <x:c r="T62" s="142"/>
      <x:c r="U62" s="142"/>
      <x:c r="V62" s="220"/>
      <x:c r="W62" s="142"/>
      <x:c r="X62" s="208"/>
      <x:c r="Y62" s="208"/>
      <x:c r="Z62" s="142"/>
      <x:c r="AA62" s="142"/>
      <x:c r="AB62" s="202" t="str">
        <x:f>IF(A62="","",IF(AND(B62&lt;&gt;"",D62&lt;&gt;"",F62&lt;&gt;"",H62&lt;&gt;"",M62&lt;&gt;"",N62&lt;&gt;"",Q62&lt;&gt;"",R62&lt;&gt;"",U62&lt;&gt;"",V62&lt;&gt;"",W62&lt;&gt;""),"PRONTO","PENDENTE"))</x:f>
      </x:c>
      <x:c r="AC62" s="214" t="str">
        <x:f>IF(A62="","",SUMIF('PARTICIPAÇÕES FONOGRAMA'!$A$5:$A$254,A62,'PARTICIPAÇÕES FONOGRAMA'!$I$5:$I$254))</x:f>
      </x:c>
      <x:c r="AD62" s="202" t="str">
        <x:f>IF(A62="","",IF(AC62=1,"OK 100%","CONFERIR"))</x:f>
      </x:c>
      <x:c r="AE62" s="142"/>
      <x:c r="AF62" s="142"/>
      <x:c r="AG62" s="142"/>
    </x:row>
    <x:row r="63" ht="19" customHeight="1">
      <x:c r="A63" s="142"/>
      <x:c r="B63" s="142"/>
      <x:c r="C63" s="142"/>
      <x:c r="D63" s="142"/>
      <x:c r="E63" s="142"/>
      <x:c r="F63" s="142"/>
      <x:c r="G63" s="142"/>
      <x:c r="H63" s="142"/>
      <x:c r="I63" s="142"/>
      <x:c r="J63" s="142"/>
      <x:c r="K63" s="142"/>
      <x:c r="L63" s="142"/>
      <x:c r="M63" s="208"/>
      <x:c r="N63" s="208"/>
      <x:c r="O63" s="142"/>
      <x:c r="P63" s="142"/>
      <x:c r="Q63" s="142"/>
      <x:c r="R63" s="142"/>
      <x:c r="S63" s="142"/>
      <x:c r="T63" s="142"/>
      <x:c r="U63" s="142"/>
      <x:c r="V63" s="220"/>
      <x:c r="W63" s="142"/>
      <x:c r="X63" s="208"/>
      <x:c r="Y63" s="208"/>
      <x:c r="Z63" s="142"/>
      <x:c r="AA63" s="142"/>
      <x:c r="AB63" s="202" t="str">
        <x:f>IF(A63="","",IF(AND(B63&lt;&gt;"",D63&lt;&gt;"",F63&lt;&gt;"",H63&lt;&gt;"",M63&lt;&gt;"",N63&lt;&gt;"",Q63&lt;&gt;"",R63&lt;&gt;"",U63&lt;&gt;"",V63&lt;&gt;"",W63&lt;&gt;""),"PRONTO","PENDENTE"))</x:f>
      </x:c>
      <x:c r="AC63" s="214" t="str">
        <x:f>IF(A63="","",SUMIF('PARTICIPAÇÕES FONOGRAMA'!$A$5:$A$254,A63,'PARTICIPAÇÕES FONOGRAMA'!$I$5:$I$254))</x:f>
      </x:c>
      <x:c r="AD63" s="202" t="str">
        <x:f>IF(A63="","",IF(AC63=1,"OK 100%","CONFERIR"))</x:f>
      </x:c>
      <x:c r="AE63" s="142"/>
      <x:c r="AF63" s="142"/>
      <x:c r="AG63" s="142"/>
    </x:row>
    <x:row r="64" ht="19" customHeight="1">
      <x:c r="A64" s="142"/>
      <x:c r="B64" s="142"/>
      <x:c r="C64" s="142"/>
      <x:c r="D64" s="142"/>
      <x:c r="E64" s="142"/>
      <x:c r="F64" s="142"/>
      <x:c r="G64" s="142"/>
      <x:c r="H64" s="142"/>
      <x:c r="I64" s="142"/>
      <x:c r="J64" s="142"/>
      <x:c r="K64" s="142"/>
      <x:c r="L64" s="142"/>
      <x:c r="M64" s="208"/>
      <x:c r="N64" s="208"/>
      <x:c r="O64" s="142"/>
      <x:c r="P64" s="142"/>
      <x:c r="Q64" s="142"/>
      <x:c r="R64" s="142"/>
      <x:c r="S64" s="142"/>
      <x:c r="T64" s="142"/>
      <x:c r="U64" s="142"/>
      <x:c r="V64" s="220"/>
      <x:c r="W64" s="142"/>
      <x:c r="X64" s="208"/>
      <x:c r="Y64" s="208"/>
      <x:c r="Z64" s="142"/>
      <x:c r="AA64" s="142"/>
      <x:c r="AB64" s="202" t="str">
        <x:f>IF(A64="","",IF(AND(B64&lt;&gt;"",D64&lt;&gt;"",F64&lt;&gt;"",H64&lt;&gt;"",M64&lt;&gt;"",N64&lt;&gt;"",Q64&lt;&gt;"",R64&lt;&gt;"",U64&lt;&gt;"",V64&lt;&gt;"",W64&lt;&gt;""),"PRONTO","PENDENTE"))</x:f>
      </x:c>
      <x:c r="AC64" s="214" t="str">
        <x:f>IF(A64="","",SUMIF('PARTICIPAÇÕES FONOGRAMA'!$A$5:$A$254,A64,'PARTICIPAÇÕES FONOGRAMA'!$I$5:$I$254))</x:f>
      </x:c>
      <x:c r="AD64" s="202" t="str">
        <x:f>IF(A64="","",IF(AC64=1,"OK 100%","CONFERIR"))</x:f>
      </x:c>
      <x:c r="AE64" s="142"/>
      <x:c r="AF64" s="142"/>
      <x:c r="AG64" s="142"/>
    </x:row>
    <x:row r="65" ht="19" customHeight="1">
      <x:c r="A65" s="142"/>
      <x:c r="B65" s="142"/>
      <x:c r="C65" s="142"/>
      <x:c r="D65" s="142"/>
      <x:c r="E65" s="142"/>
      <x:c r="F65" s="142"/>
      <x:c r="G65" s="142"/>
      <x:c r="H65" s="142"/>
      <x:c r="I65" s="142"/>
      <x:c r="J65" s="142"/>
      <x:c r="K65" s="142"/>
      <x:c r="L65" s="142"/>
      <x:c r="M65" s="208"/>
      <x:c r="N65" s="208"/>
      <x:c r="O65" s="142"/>
      <x:c r="P65" s="142"/>
      <x:c r="Q65" s="142"/>
      <x:c r="R65" s="142"/>
      <x:c r="S65" s="142"/>
      <x:c r="T65" s="142"/>
      <x:c r="U65" s="142"/>
      <x:c r="V65" s="220"/>
      <x:c r="W65" s="142"/>
      <x:c r="X65" s="208"/>
      <x:c r="Y65" s="208"/>
      <x:c r="Z65" s="142"/>
      <x:c r="AA65" s="142"/>
      <x:c r="AB65" s="202" t="str">
        <x:f>IF(A65="","",IF(AND(B65&lt;&gt;"",D65&lt;&gt;"",F65&lt;&gt;"",H65&lt;&gt;"",M65&lt;&gt;"",N65&lt;&gt;"",Q65&lt;&gt;"",R65&lt;&gt;"",U65&lt;&gt;"",V65&lt;&gt;"",W65&lt;&gt;""),"PRONTO","PENDENTE"))</x:f>
      </x:c>
      <x:c r="AC65" s="214" t="str">
        <x:f>IF(A65="","",SUMIF('PARTICIPAÇÕES FONOGRAMA'!$A$5:$A$254,A65,'PARTICIPAÇÕES FONOGRAMA'!$I$5:$I$254))</x:f>
      </x:c>
      <x:c r="AD65" s="202" t="str">
        <x:f>IF(A65="","",IF(AC65=1,"OK 100%","CONFERIR"))</x:f>
      </x:c>
      <x:c r="AE65" s="142"/>
      <x:c r="AF65" s="142"/>
      <x:c r="AG65" s="142"/>
    </x:row>
    <x:row r="66" ht="19" customHeight="1">
      <x:c r="A66" s="142"/>
      <x:c r="B66" s="142"/>
      <x:c r="C66" s="142"/>
      <x:c r="D66" s="142"/>
      <x:c r="E66" s="142"/>
      <x:c r="F66" s="142"/>
      <x:c r="G66" s="142"/>
      <x:c r="H66" s="142"/>
      <x:c r="I66" s="142"/>
      <x:c r="J66" s="142"/>
      <x:c r="K66" s="142"/>
      <x:c r="L66" s="142"/>
      <x:c r="M66" s="208"/>
      <x:c r="N66" s="208"/>
      <x:c r="O66" s="142"/>
      <x:c r="P66" s="142"/>
      <x:c r="Q66" s="142"/>
      <x:c r="R66" s="142"/>
      <x:c r="S66" s="142"/>
      <x:c r="T66" s="142"/>
      <x:c r="U66" s="142"/>
      <x:c r="V66" s="220"/>
      <x:c r="W66" s="142"/>
      <x:c r="X66" s="208"/>
      <x:c r="Y66" s="208"/>
      <x:c r="Z66" s="142"/>
      <x:c r="AA66" s="142"/>
      <x:c r="AB66" s="202" t="str">
        <x:f>IF(A66="","",IF(AND(B66&lt;&gt;"",D66&lt;&gt;"",F66&lt;&gt;"",H66&lt;&gt;"",M66&lt;&gt;"",N66&lt;&gt;"",Q66&lt;&gt;"",R66&lt;&gt;"",U66&lt;&gt;"",V66&lt;&gt;"",W66&lt;&gt;""),"PRONTO","PENDENTE"))</x:f>
      </x:c>
      <x:c r="AC66" s="214" t="str">
        <x:f>IF(A66="","",SUMIF('PARTICIPAÇÕES FONOGRAMA'!$A$5:$A$254,A66,'PARTICIPAÇÕES FONOGRAMA'!$I$5:$I$254))</x:f>
      </x:c>
      <x:c r="AD66" s="202" t="str">
        <x:f>IF(A66="","",IF(AC66=1,"OK 100%","CONFERIR"))</x:f>
      </x:c>
      <x:c r="AE66" s="142"/>
      <x:c r="AF66" s="142"/>
      <x:c r="AG66" s="142"/>
    </x:row>
    <x:row r="67" ht="19" customHeight="1">
      <x:c r="A67" s="142"/>
      <x:c r="B67" s="142"/>
      <x:c r="C67" s="142"/>
      <x:c r="D67" s="142"/>
      <x:c r="E67" s="142"/>
      <x:c r="F67" s="142"/>
      <x:c r="G67" s="142"/>
      <x:c r="H67" s="142"/>
      <x:c r="I67" s="142"/>
      <x:c r="J67" s="142"/>
      <x:c r="K67" s="142"/>
      <x:c r="L67" s="142"/>
      <x:c r="M67" s="208"/>
      <x:c r="N67" s="208"/>
      <x:c r="O67" s="142"/>
      <x:c r="P67" s="142"/>
      <x:c r="Q67" s="142"/>
      <x:c r="R67" s="142"/>
      <x:c r="S67" s="142"/>
      <x:c r="T67" s="142"/>
      <x:c r="U67" s="142"/>
      <x:c r="V67" s="220"/>
      <x:c r="W67" s="142"/>
      <x:c r="X67" s="208"/>
      <x:c r="Y67" s="208"/>
      <x:c r="Z67" s="142"/>
      <x:c r="AA67" s="142"/>
      <x:c r="AB67" s="202" t="str">
        <x:f>IF(A67="","",IF(AND(B67&lt;&gt;"",D67&lt;&gt;"",F67&lt;&gt;"",H67&lt;&gt;"",M67&lt;&gt;"",N67&lt;&gt;"",Q67&lt;&gt;"",R67&lt;&gt;"",U67&lt;&gt;"",V67&lt;&gt;"",W67&lt;&gt;""),"PRONTO","PENDENTE"))</x:f>
      </x:c>
      <x:c r="AC67" s="214" t="str">
        <x:f>IF(A67="","",SUMIF('PARTICIPAÇÕES FONOGRAMA'!$A$5:$A$254,A67,'PARTICIPAÇÕES FONOGRAMA'!$I$5:$I$254))</x:f>
      </x:c>
      <x:c r="AD67" s="202" t="str">
        <x:f>IF(A67="","",IF(AC67=1,"OK 100%","CONFERIR"))</x:f>
      </x:c>
      <x:c r="AE67" s="142"/>
      <x:c r="AF67" s="142"/>
      <x:c r="AG67" s="142"/>
    </x:row>
    <x:row r="68" ht="19" customHeight="1">
      <x:c r="A68" s="142"/>
      <x:c r="B68" s="142"/>
      <x:c r="C68" s="142"/>
      <x:c r="D68" s="142"/>
      <x:c r="E68" s="142"/>
      <x:c r="F68" s="142"/>
      <x:c r="G68" s="142"/>
      <x:c r="H68" s="142"/>
      <x:c r="I68" s="142"/>
      <x:c r="J68" s="142"/>
      <x:c r="K68" s="142"/>
      <x:c r="L68" s="142"/>
      <x:c r="M68" s="208"/>
      <x:c r="N68" s="208"/>
      <x:c r="O68" s="142"/>
      <x:c r="P68" s="142"/>
      <x:c r="Q68" s="142"/>
      <x:c r="R68" s="142"/>
      <x:c r="S68" s="142"/>
      <x:c r="T68" s="142"/>
      <x:c r="U68" s="142"/>
      <x:c r="V68" s="220"/>
      <x:c r="W68" s="142"/>
      <x:c r="X68" s="208"/>
      <x:c r="Y68" s="208"/>
      <x:c r="Z68" s="142"/>
      <x:c r="AA68" s="142"/>
      <x:c r="AB68" s="202" t="str">
        <x:f>IF(A68="","",IF(AND(B68&lt;&gt;"",D68&lt;&gt;"",F68&lt;&gt;"",H68&lt;&gt;"",M68&lt;&gt;"",N68&lt;&gt;"",Q68&lt;&gt;"",R68&lt;&gt;"",U68&lt;&gt;"",V68&lt;&gt;"",W68&lt;&gt;""),"PRONTO","PENDENTE"))</x:f>
      </x:c>
      <x:c r="AC68" s="214" t="str">
        <x:f>IF(A68="","",SUMIF('PARTICIPAÇÕES FONOGRAMA'!$A$5:$A$254,A68,'PARTICIPAÇÕES FONOGRAMA'!$I$5:$I$254))</x:f>
      </x:c>
      <x:c r="AD68" s="202" t="str">
        <x:f>IF(A68="","",IF(AC68=1,"OK 100%","CONFERIR"))</x:f>
      </x:c>
      <x:c r="AE68" s="142"/>
      <x:c r="AF68" s="142"/>
      <x:c r="AG68" s="142"/>
    </x:row>
    <x:row r="69" ht="19" customHeight="1">
      <x:c r="A69" s="142"/>
      <x:c r="B69" s="142"/>
      <x:c r="C69" s="142"/>
      <x:c r="D69" s="142"/>
      <x:c r="E69" s="142"/>
      <x:c r="F69" s="142"/>
      <x:c r="G69" s="142"/>
      <x:c r="H69" s="142"/>
      <x:c r="I69" s="142"/>
      <x:c r="J69" s="142"/>
      <x:c r="K69" s="142"/>
      <x:c r="L69" s="142"/>
      <x:c r="M69" s="208"/>
      <x:c r="N69" s="208"/>
      <x:c r="O69" s="142"/>
      <x:c r="P69" s="142"/>
      <x:c r="Q69" s="142"/>
      <x:c r="R69" s="142"/>
      <x:c r="S69" s="142"/>
      <x:c r="T69" s="142"/>
      <x:c r="U69" s="142"/>
      <x:c r="V69" s="220"/>
      <x:c r="W69" s="142"/>
      <x:c r="X69" s="208"/>
      <x:c r="Y69" s="208"/>
      <x:c r="Z69" s="142"/>
      <x:c r="AA69" s="142"/>
      <x:c r="AB69" s="202" t="str">
        <x:f>IF(A69="","",IF(AND(B69&lt;&gt;"",D69&lt;&gt;"",F69&lt;&gt;"",H69&lt;&gt;"",M69&lt;&gt;"",N69&lt;&gt;"",Q69&lt;&gt;"",R69&lt;&gt;"",U69&lt;&gt;"",V69&lt;&gt;"",W69&lt;&gt;""),"PRONTO","PENDENTE"))</x:f>
      </x:c>
      <x:c r="AC69" s="214" t="str">
        <x:f>IF(A69="","",SUMIF('PARTICIPAÇÕES FONOGRAMA'!$A$5:$A$254,A69,'PARTICIPAÇÕES FONOGRAMA'!$I$5:$I$254))</x:f>
      </x:c>
      <x:c r="AD69" s="202" t="str">
        <x:f>IF(A69="","",IF(AC69=1,"OK 100%","CONFERIR"))</x:f>
      </x:c>
      <x:c r="AE69" s="142"/>
      <x:c r="AF69" s="142"/>
      <x:c r="AG69" s="142"/>
    </x:row>
    <x:row r="70" ht="19" customHeight="1">
      <x:c r="A70" s="142"/>
      <x:c r="B70" s="142"/>
      <x:c r="C70" s="142"/>
      <x:c r="D70" s="142"/>
      <x:c r="E70" s="142"/>
      <x:c r="F70" s="142"/>
      <x:c r="G70" s="142"/>
      <x:c r="H70" s="142"/>
      <x:c r="I70" s="142"/>
      <x:c r="J70" s="142"/>
      <x:c r="K70" s="142"/>
      <x:c r="L70" s="142"/>
      <x:c r="M70" s="208"/>
      <x:c r="N70" s="208"/>
      <x:c r="O70" s="142"/>
      <x:c r="P70" s="142"/>
      <x:c r="Q70" s="142"/>
      <x:c r="R70" s="142"/>
      <x:c r="S70" s="142"/>
      <x:c r="T70" s="142"/>
      <x:c r="U70" s="142"/>
      <x:c r="V70" s="220"/>
      <x:c r="W70" s="142"/>
      <x:c r="X70" s="208"/>
      <x:c r="Y70" s="208"/>
      <x:c r="Z70" s="142"/>
      <x:c r="AA70" s="142"/>
      <x:c r="AB70" s="202" t="str">
        <x:f>IF(A70="","",IF(AND(B70&lt;&gt;"",D70&lt;&gt;"",F70&lt;&gt;"",H70&lt;&gt;"",M70&lt;&gt;"",N70&lt;&gt;"",Q70&lt;&gt;"",R70&lt;&gt;"",U70&lt;&gt;"",V70&lt;&gt;"",W70&lt;&gt;""),"PRONTO","PENDENTE"))</x:f>
      </x:c>
      <x:c r="AC70" s="214" t="str">
        <x:f>IF(A70="","",SUMIF('PARTICIPAÇÕES FONOGRAMA'!$A$5:$A$254,A70,'PARTICIPAÇÕES FONOGRAMA'!$I$5:$I$254))</x:f>
      </x:c>
      <x:c r="AD70" s="202" t="str">
        <x:f>IF(A70="","",IF(AC70=1,"OK 100%","CONFERIR"))</x:f>
      </x:c>
      <x:c r="AE70" s="142"/>
      <x:c r="AF70" s="142"/>
      <x:c r="AG70" s="142"/>
    </x:row>
    <x:row r="71" ht="19" customHeight="1">
      <x:c r="A71" s="142"/>
      <x:c r="B71" s="142"/>
      <x:c r="C71" s="142"/>
      <x:c r="D71" s="142"/>
      <x:c r="E71" s="142"/>
      <x:c r="F71" s="142"/>
      <x:c r="G71" s="142"/>
      <x:c r="H71" s="142"/>
      <x:c r="I71" s="142"/>
      <x:c r="J71" s="142"/>
      <x:c r="K71" s="142"/>
      <x:c r="L71" s="142"/>
      <x:c r="M71" s="208"/>
      <x:c r="N71" s="208"/>
      <x:c r="O71" s="142"/>
      <x:c r="P71" s="142"/>
      <x:c r="Q71" s="142"/>
      <x:c r="R71" s="142"/>
      <x:c r="S71" s="142"/>
      <x:c r="T71" s="142"/>
      <x:c r="U71" s="142"/>
      <x:c r="V71" s="220"/>
      <x:c r="W71" s="142"/>
      <x:c r="X71" s="208"/>
      <x:c r="Y71" s="208"/>
      <x:c r="Z71" s="142"/>
      <x:c r="AA71" s="142"/>
      <x:c r="AB71" s="202" t="str">
        <x:f>IF(A71="","",IF(AND(B71&lt;&gt;"",D71&lt;&gt;"",F71&lt;&gt;"",H71&lt;&gt;"",M71&lt;&gt;"",N71&lt;&gt;"",Q71&lt;&gt;"",R71&lt;&gt;"",U71&lt;&gt;"",V71&lt;&gt;"",W71&lt;&gt;""),"PRONTO","PENDENTE"))</x:f>
      </x:c>
      <x:c r="AC71" s="214" t="str">
        <x:f>IF(A71="","",SUMIF('PARTICIPAÇÕES FONOGRAMA'!$A$5:$A$254,A71,'PARTICIPAÇÕES FONOGRAMA'!$I$5:$I$254))</x:f>
      </x:c>
      <x:c r="AD71" s="202" t="str">
        <x:f>IF(A71="","",IF(AC71=1,"OK 100%","CONFERIR"))</x:f>
      </x:c>
      <x:c r="AE71" s="142"/>
      <x:c r="AF71" s="142"/>
      <x:c r="AG71" s="142"/>
    </x:row>
    <x:row r="72" ht="19" customHeight="1">
      <x:c r="A72" s="142"/>
      <x:c r="B72" s="142"/>
      <x:c r="C72" s="142"/>
      <x:c r="D72" s="142"/>
      <x:c r="E72" s="142"/>
      <x:c r="F72" s="142"/>
      <x:c r="G72" s="142"/>
      <x:c r="H72" s="142"/>
      <x:c r="I72" s="142"/>
      <x:c r="J72" s="142"/>
      <x:c r="K72" s="142"/>
      <x:c r="L72" s="142"/>
      <x:c r="M72" s="208"/>
      <x:c r="N72" s="208"/>
      <x:c r="O72" s="142"/>
      <x:c r="P72" s="142"/>
      <x:c r="Q72" s="142"/>
      <x:c r="R72" s="142"/>
      <x:c r="S72" s="142"/>
      <x:c r="T72" s="142"/>
      <x:c r="U72" s="142"/>
      <x:c r="V72" s="220"/>
      <x:c r="W72" s="142"/>
      <x:c r="X72" s="208"/>
      <x:c r="Y72" s="208"/>
      <x:c r="Z72" s="142"/>
      <x:c r="AA72" s="142"/>
      <x:c r="AB72" s="202" t="str">
        <x:f>IF(A72="","",IF(AND(B72&lt;&gt;"",D72&lt;&gt;"",F72&lt;&gt;"",H72&lt;&gt;"",M72&lt;&gt;"",N72&lt;&gt;"",Q72&lt;&gt;"",R72&lt;&gt;"",U72&lt;&gt;"",V72&lt;&gt;"",W72&lt;&gt;""),"PRONTO","PENDENTE"))</x:f>
      </x:c>
      <x:c r="AC72" s="214" t="str">
        <x:f>IF(A72="","",SUMIF('PARTICIPAÇÕES FONOGRAMA'!$A$5:$A$254,A72,'PARTICIPAÇÕES FONOGRAMA'!$I$5:$I$254))</x:f>
      </x:c>
      <x:c r="AD72" s="202" t="str">
        <x:f>IF(A72="","",IF(AC72=1,"OK 100%","CONFERIR"))</x:f>
      </x:c>
      <x:c r="AE72" s="142"/>
      <x:c r="AF72" s="142"/>
      <x:c r="AG72" s="142"/>
    </x:row>
    <x:row r="73" ht="19" customHeight="1">
      <x:c r="A73" s="142"/>
      <x:c r="B73" s="142"/>
      <x:c r="C73" s="142"/>
      <x:c r="D73" s="142"/>
      <x:c r="E73" s="142"/>
      <x:c r="F73" s="142"/>
      <x:c r="G73" s="142"/>
      <x:c r="H73" s="142"/>
      <x:c r="I73" s="142"/>
      <x:c r="J73" s="142"/>
      <x:c r="K73" s="142"/>
      <x:c r="L73" s="142"/>
      <x:c r="M73" s="208"/>
      <x:c r="N73" s="208"/>
      <x:c r="O73" s="142"/>
      <x:c r="P73" s="142"/>
      <x:c r="Q73" s="142"/>
      <x:c r="R73" s="142"/>
      <x:c r="S73" s="142"/>
      <x:c r="T73" s="142"/>
      <x:c r="U73" s="142"/>
      <x:c r="V73" s="220"/>
      <x:c r="W73" s="142"/>
      <x:c r="X73" s="208"/>
      <x:c r="Y73" s="208"/>
      <x:c r="Z73" s="142"/>
      <x:c r="AA73" s="142"/>
      <x:c r="AB73" s="202" t="str">
        <x:f>IF(A73="","",IF(AND(B73&lt;&gt;"",D73&lt;&gt;"",F73&lt;&gt;"",H73&lt;&gt;"",M73&lt;&gt;"",N73&lt;&gt;"",Q73&lt;&gt;"",R73&lt;&gt;"",U73&lt;&gt;"",V73&lt;&gt;"",W73&lt;&gt;""),"PRONTO","PENDENTE"))</x:f>
      </x:c>
      <x:c r="AC73" s="214" t="str">
        <x:f>IF(A73="","",SUMIF('PARTICIPAÇÕES FONOGRAMA'!$A$5:$A$254,A73,'PARTICIPAÇÕES FONOGRAMA'!$I$5:$I$254))</x:f>
      </x:c>
      <x:c r="AD73" s="202" t="str">
        <x:f>IF(A73="","",IF(AC73=1,"OK 100%","CONFERIR"))</x:f>
      </x:c>
      <x:c r="AE73" s="142"/>
      <x:c r="AF73" s="142"/>
      <x:c r="AG73" s="142"/>
    </x:row>
    <x:row r="74" ht="19" customHeight="1">
      <x:c r="A74" s="142"/>
      <x:c r="B74" s="142"/>
      <x:c r="C74" s="142"/>
      <x:c r="D74" s="142"/>
      <x:c r="E74" s="142"/>
      <x:c r="F74" s="142"/>
      <x:c r="G74" s="142"/>
      <x:c r="H74" s="142"/>
      <x:c r="I74" s="142"/>
      <x:c r="J74" s="142"/>
      <x:c r="K74" s="142"/>
      <x:c r="L74" s="142"/>
      <x:c r="M74" s="208"/>
      <x:c r="N74" s="208"/>
      <x:c r="O74" s="142"/>
      <x:c r="P74" s="142"/>
      <x:c r="Q74" s="142"/>
      <x:c r="R74" s="142"/>
      <x:c r="S74" s="142"/>
      <x:c r="T74" s="142"/>
      <x:c r="U74" s="142"/>
      <x:c r="V74" s="220"/>
      <x:c r="W74" s="142"/>
      <x:c r="X74" s="208"/>
      <x:c r="Y74" s="208"/>
      <x:c r="Z74" s="142"/>
      <x:c r="AA74" s="142"/>
      <x:c r="AB74" s="202" t="str">
        <x:f>IF(A74="","",IF(AND(B74&lt;&gt;"",D74&lt;&gt;"",F74&lt;&gt;"",H74&lt;&gt;"",M74&lt;&gt;"",N74&lt;&gt;"",Q74&lt;&gt;"",R74&lt;&gt;"",U74&lt;&gt;"",V74&lt;&gt;"",W74&lt;&gt;""),"PRONTO","PENDENTE"))</x:f>
      </x:c>
      <x:c r="AC74" s="214" t="str">
        <x:f>IF(A74="","",SUMIF('PARTICIPAÇÕES FONOGRAMA'!$A$5:$A$254,A74,'PARTICIPAÇÕES FONOGRAMA'!$I$5:$I$254))</x:f>
      </x:c>
      <x:c r="AD74" s="202" t="str">
        <x:f>IF(A74="","",IF(AC74=1,"OK 100%","CONFERIR"))</x:f>
      </x:c>
      <x:c r="AE74" s="142"/>
      <x:c r="AF74" s="142"/>
      <x:c r="AG74" s="142"/>
    </x:row>
    <x:row r="75" ht="19" customHeight="1">
      <x:c r="A75" s="142"/>
      <x:c r="B75" s="142"/>
      <x:c r="C75" s="142"/>
      <x:c r="D75" s="142"/>
      <x:c r="E75" s="142"/>
      <x:c r="F75" s="142"/>
      <x:c r="G75" s="142"/>
      <x:c r="H75" s="142"/>
      <x:c r="I75" s="142"/>
      <x:c r="J75" s="142"/>
      <x:c r="K75" s="142"/>
      <x:c r="L75" s="142"/>
      <x:c r="M75" s="208"/>
      <x:c r="N75" s="208"/>
      <x:c r="O75" s="142"/>
      <x:c r="P75" s="142"/>
      <x:c r="Q75" s="142"/>
      <x:c r="R75" s="142"/>
      <x:c r="S75" s="142"/>
      <x:c r="T75" s="142"/>
      <x:c r="U75" s="142"/>
      <x:c r="V75" s="220"/>
      <x:c r="W75" s="142"/>
      <x:c r="X75" s="208"/>
      <x:c r="Y75" s="208"/>
      <x:c r="Z75" s="142"/>
      <x:c r="AA75" s="142"/>
      <x:c r="AB75" s="202" t="str">
        <x:f>IF(A75="","",IF(AND(B75&lt;&gt;"",D75&lt;&gt;"",F75&lt;&gt;"",H75&lt;&gt;"",M75&lt;&gt;"",N75&lt;&gt;"",Q75&lt;&gt;"",R75&lt;&gt;"",U75&lt;&gt;"",V75&lt;&gt;"",W75&lt;&gt;""),"PRONTO","PENDENTE"))</x:f>
      </x:c>
      <x:c r="AC75" s="214" t="str">
        <x:f>IF(A75="","",SUMIF('PARTICIPAÇÕES FONOGRAMA'!$A$5:$A$254,A75,'PARTICIPAÇÕES FONOGRAMA'!$I$5:$I$254))</x:f>
      </x:c>
      <x:c r="AD75" s="202" t="str">
        <x:f>IF(A75="","",IF(AC75=1,"OK 100%","CONFERIR"))</x:f>
      </x:c>
      <x:c r="AE75" s="142"/>
      <x:c r="AF75" s="142"/>
      <x:c r="AG75" s="142"/>
    </x:row>
    <x:row r="76" ht="19" customHeight="1">
      <x:c r="A76" s="142"/>
      <x:c r="B76" s="142"/>
      <x:c r="C76" s="142"/>
      <x:c r="D76" s="142"/>
      <x:c r="E76" s="142"/>
      <x:c r="F76" s="142"/>
      <x:c r="G76" s="142"/>
      <x:c r="H76" s="142"/>
      <x:c r="I76" s="142"/>
      <x:c r="J76" s="142"/>
      <x:c r="K76" s="142"/>
      <x:c r="L76" s="142"/>
      <x:c r="M76" s="208"/>
      <x:c r="N76" s="208"/>
      <x:c r="O76" s="142"/>
      <x:c r="P76" s="142"/>
      <x:c r="Q76" s="142"/>
      <x:c r="R76" s="142"/>
      <x:c r="S76" s="142"/>
      <x:c r="T76" s="142"/>
      <x:c r="U76" s="142"/>
      <x:c r="V76" s="220"/>
      <x:c r="W76" s="142"/>
      <x:c r="X76" s="208"/>
      <x:c r="Y76" s="208"/>
      <x:c r="Z76" s="142"/>
      <x:c r="AA76" s="142"/>
      <x:c r="AB76" s="202" t="str">
        <x:f>IF(A76="","",IF(AND(B76&lt;&gt;"",D76&lt;&gt;"",F76&lt;&gt;"",H76&lt;&gt;"",M76&lt;&gt;"",N76&lt;&gt;"",Q76&lt;&gt;"",R76&lt;&gt;"",U76&lt;&gt;"",V76&lt;&gt;"",W76&lt;&gt;""),"PRONTO","PENDENTE"))</x:f>
      </x:c>
      <x:c r="AC76" s="214" t="str">
        <x:f>IF(A76="","",SUMIF('PARTICIPAÇÕES FONOGRAMA'!$A$5:$A$254,A76,'PARTICIPAÇÕES FONOGRAMA'!$I$5:$I$254))</x:f>
      </x:c>
      <x:c r="AD76" s="202" t="str">
        <x:f>IF(A76="","",IF(AC76=1,"OK 100%","CONFERIR"))</x:f>
      </x:c>
      <x:c r="AE76" s="142"/>
      <x:c r="AF76" s="142"/>
      <x:c r="AG76" s="142"/>
    </x:row>
    <x:row r="77" ht="19" customHeight="1">
      <x:c r="A77" s="142"/>
      <x:c r="B77" s="142"/>
      <x:c r="C77" s="142"/>
      <x:c r="D77" s="142"/>
      <x:c r="E77" s="142"/>
      <x:c r="F77" s="142"/>
      <x:c r="G77" s="142"/>
      <x:c r="H77" s="142"/>
      <x:c r="I77" s="142"/>
      <x:c r="J77" s="142"/>
      <x:c r="K77" s="142"/>
      <x:c r="L77" s="142"/>
      <x:c r="M77" s="208"/>
      <x:c r="N77" s="208"/>
      <x:c r="O77" s="142"/>
      <x:c r="P77" s="142"/>
      <x:c r="Q77" s="142"/>
      <x:c r="R77" s="142"/>
      <x:c r="S77" s="142"/>
      <x:c r="T77" s="142"/>
      <x:c r="U77" s="142"/>
      <x:c r="V77" s="220"/>
      <x:c r="W77" s="142"/>
      <x:c r="X77" s="208"/>
      <x:c r="Y77" s="208"/>
      <x:c r="Z77" s="142"/>
      <x:c r="AA77" s="142"/>
      <x:c r="AB77" s="202" t="str">
        <x:f>IF(A77="","",IF(AND(B77&lt;&gt;"",D77&lt;&gt;"",F77&lt;&gt;"",H77&lt;&gt;"",M77&lt;&gt;"",N77&lt;&gt;"",Q77&lt;&gt;"",R77&lt;&gt;"",U77&lt;&gt;"",V77&lt;&gt;"",W77&lt;&gt;""),"PRONTO","PENDENTE"))</x:f>
      </x:c>
      <x:c r="AC77" s="214" t="str">
        <x:f>IF(A77="","",SUMIF('PARTICIPAÇÕES FONOGRAMA'!$A$5:$A$254,A77,'PARTICIPAÇÕES FONOGRAMA'!$I$5:$I$254))</x:f>
      </x:c>
      <x:c r="AD77" s="202" t="str">
        <x:f>IF(A77="","",IF(AC77=1,"OK 100%","CONFERIR"))</x:f>
      </x:c>
      <x:c r="AE77" s="142"/>
      <x:c r="AF77" s="142"/>
      <x:c r="AG77" s="142"/>
    </x:row>
    <x:row r="78" ht="19" customHeight="1">
      <x:c r="A78" s="142"/>
      <x:c r="B78" s="142"/>
      <x:c r="C78" s="142"/>
      <x:c r="D78" s="142"/>
      <x:c r="E78" s="142"/>
      <x:c r="F78" s="142"/>
      <x:c r="G78" s="142"/>
      <x:c r="H78" s="142"/>
      <x:c r="I78" s="142"/>
      <x:c r="J78" s="142"/>
      <x:c r="K78" s="142"/>
      <x:c r="L78" s="142"/>
      <x:c r="M78" s="208"/>
      <x:c r="N78" s="208"/>
      <x:c r="O78" s="142"/>
      <x:c r="P78" s="142"/>
      <x:c r="Q78" s="142"/>
      <x:c r="R78" s="142"/>
      <x:c r="S78" s="142"/>
      <x:c r="T78" s="142"/>
      <x:c r="U78" s="142"/>
      <x:c r="V78" s="220"/>
      <x:c r="W78" s="142"/>
      <x:c r="X78" s="208"/>
      <x:c r="Y78" s="208"/>
      <x:c r="Z78" s="142"/>
      <x:c r="AA78" s="142"/>
      <x:c r="AB78" s="202" t="str">
        <x:f>IF(A78="","",IF(AND(B78&lt;&gt;"",D78&lt;&gt;"",F78&lt;&gt;"",H78&lt;&gt;"",M78&lt;&gt;"",N78&lt;&gt;"",Q78&lt;&gt;"",R78&lt;&gt;"",U78&lt;&gt;"",V78&lt;&gt;"",W78&lt;&gt;""),"PRONTO","PENDENTE"))</x:f>
      </x:c>
      <x:c r="AC78" s="214" t="str">
        <x:f>IF(A78="","",SUMIF('PARTICIPAÇÕES FONOGRAMA'!$A$5:$A$254,A78,'PARTICIPAÇÕES FONOGRAMA'!$I$5:$I$254))</x:f>
      </x:c>
      <x:c r="AD78" s="202" t="str">
        <x:f>IF(A78="","",IF(AC78=1,"OK 100%","CONFERIR"))</x:f>
      </x:c>
      <x:c r="AE78" s="142"/>
      <x:c r="AF78" s="142"/>
      <x:c r="AG78" s="142"/>
    </x:row>
    <x:row r="79" ht="19" customHeight="1">
      <x:c r="A79" s="142"/>
      <x:c r="B79" s="142"/>
      <x:c r="C79" s="142"/>
      <x:c r="D79" s="142"/>
      <x:c r="E79" s="142"/>
      <x:c r="F79" s="142"/>
      <x:c r="G79" s="142"/>
      <x:c r="H79" s="142"/>
      <x:c r="I79" s="142"/>
      <x:c r="J79" s="142"/>
      <x:c r="K79" s="142"/>
      <x:c r="L79" s="142"/>
      <x:c r="M79" s="208"/>
      <x:c r="N79" s="208"/>
      <x:c r="O79" s="142"/>
      <x:c r="P79" s="142"/>
      <x:c r="Q79" s="142"/>
      <x:c r="R79" s="142"/>
      <x:c r="S79" s="142"/>
      <x:c r="T79" s="142"/>
      <x:c r="U79" s="142"/>
      <x:c r="V79" s="220"/>
      <x:c r="W79" s="142"/>
      <x:c r="X79" s="208"/>
      <x:c r="Y79" s="208"/>
      <x:c r="Z79" s="142"/>
      <x:c r="AA79" s="142"/>
      <x:c r="AB79" s="202" t="str">
        <x:f>IF(A79="","",IF(AND(B79&lt;&gt;"",D79&lt;&gt;"",F79&lt;&gt;"",H79&lt;&gt;"",M79&lt;&gt;"",N79&lt;&gt;"",Q79&lt;&gt;"",R79&lt;&gt;"",U79&lt;&gt;"",V79&lt;&gt;"",W79&lt;&gt;""),"PRONTO","PENDENTE"))</x:f>
      </x:c>
      <x:c r="AC79" s="214" t="str">
        <x:f>IF(A79="","",SUMIF('PARTICIPAÇÕES FONOGRAMA'!$A$5:$A$254,A79,'PARTICIPAÇÕES FONOGRAMA'!$I$5:$I$254))</x:f>
      </x:c>
      <x:c r="AD79" s="202" t="str">
        <x:f>IF(A79="","",IF(AC79=1,"OK 100%","CONFERIR"))</x:f>
      </x:c>
      <x:c r="AE79" s="142"/>
      <x:c r="AF79" s="142"/>
      <x:c r="AG79" s="142"/>
    </x:row>
    <x:row r="80" ht="19" customHeight="1">
      <x:c r="A80" s="142"/>
      <x:c r="B80" s="142"/>
      <x:c r="C80" s="142"/>
      <x:c r="D80" s="142"/>
      <x:c r="E80" s="142"/>
      <x:c r="F80" s="142"/>
      <x:c r="G80" s="142"/>
      <x:c r="H80" s="142"/>
      <x:c r="I80" s="142"/>
      <x:c r="J80" s="142"/>
      <x:c r="K80" s="142"/>
      <x:c r="L80" s="142"/>
      <x:c r="M80" s="208"/>
      <x:c r="N80" s="208"/>
      <x:c r="O80" s="142"/>
      <x:c r="P80" s="142"/>
      <x:c r="Q80" s="142"/>
      <x:c r="R80" s="142"/>
      <x:c r="S80" s="142"/>
      <x:c r="T80" s="142"/>
      <x:c r="U80" s="142"/>
      <x:c r="V80" s="220"/>
      <x:c r="W80" s="142"/>
      <x:c r="X80" s="208"/>
      <x:c r="Y80" s="208"/>
      <x:c r="Z80" s="142"/>
      <x:c r="AA80" s="142"/>
      <x:c r="AB80" s="202" t="str">
        <x:f>IF(A80="","",IF(AND(B80&lt;&gt;"",D80&lt;&gt;"",F80&lt;&gt;"",H80&lt;&gt;"",M80&lt;&gt;"",N80&lt;&gt;"",Q80&lt;&gt;"",R80&lt;&gt;"",U80&lt;&gt;"",V80&lt;&gt;"",W80&lt;&gt;""),"PRONTO","PENDENTE"))</x:f>
      </x:c>
      <x:c r="AC80" s="214" t="str">
        <x:f>IF(A80="","",SUMIF('PARTICIPAÇÕES FONOGRAMA'!$A$5:$A$254,A80,'PARTICIPAÇÕES FONOGRAMA'!$I$5:$I$254))</x:f>
      </x:c>
      <x:c r="AD80" s="202" t="str">
        <x:f>IF(A80="","",IF(AC80=1,"OK 100%","CONFERIR"))</x:f>
      </x:c>
      <x:c r="AE80" s="142"/>
      <x:c r="AF80" s="142"/>
      <x:c r="AG80" s="142"/>
    </x:row>
    <x:row r="81" ht="19" customHeight="1">
      <x:c r="A81" s="142"/>
      <x:c r="B81" s="142"/>
      <x:c r="C81" s="142"/>
      <x:c r="D81" s="142"/>
      <x:c r="E81" s="142"/>
      <x:c r="F81" s="142"/>
      <x:c r="G81" s="142"/>
      <x:c r="H81" s="142"/>
      <x:c r="I81" s="142"/>
      <x:c r="J81" s="142"/>
      <x:c r="K81" s="142"/>
      <x:c r="L81" s="142"/>
      <x:c r="M81" s="208"/>
      <x:c r="N81" s="208"/>
      <x:c r="O81" s="142"/>
      <x:c r="P81" s="142"/>
      <x:c r="Q81" s="142"/>
      <x:c r="R81" s="142"/>
      <x:c r="S81" s="142"/>
      <x:c r="T81" s="142"/>
      <x:c r="U81" s="142"/>
      <x:c r="V81" s="220"/>
      <x:c r="W81" s="142"/>
      <x:c r="X81" s="208"/>
      <x:c r="Y81" s="208"/>
      <x:c r="Z81" s="142"/>
      <x:c r="AA81" s="142"/>
      <x:c r="AB81" s="202" t="str">
        <x:f>IF(A81="","",IF(AND(B81&lt;&gt;"",D81&lt;&gt;"",F81&lt;&gt;"",H81&lt;&gt;"",M81&lt;&gt;"",N81&lt;&gt;"",Q81&lt;&gt;"",R81&lt;&gt;"",U81&lt;&gt;"",V81&lt;&gt;"",W81&lt;&gt;""),"PRONTO","PENDENTE"))</x:f>
      </x:c>
      <x:c r="AC81" s="214" t="str">
        <x:f>IF(A81="","",SUMIF('PARTICIPAÇÕES FONOGRAMA'!$A$5:$A$254,A81,'PARTICIPAÇÕES FONOGRAMA'!$I$5:$I$254))</x:f>
      </x:c>
      <x:c r="AD81" s="202" t="str">
        <x:f>IF(A81="","",IF(AC81=1,"OK 100%","CONFERIR"))</x:f>
      </x:c>
      <x:c r="AE81" s="142"/>
      <x:c r="AF81" s="142"/>
      <x:c r="AG81" s="142"/>
    </x:row>
    <x:row r="82" ht="19" customHeight="1">
      <x:c r="A82" s="142"/>
      <x:c r="B82" s="142"/>
      <x:c r="C82" s="142"/>
      <x:c r="D82" s="142"/>
      <x:c r="E82" s="142"/>
      <x:c r="F82" s="142"/>
      <x:c r="G82" s="142"/>
      <x:c r="H82" s="142"/>
      <x:c r="I82" s="142"/>
      <x:c r="J82" s="142"/>
      <x:c r="K82" s="142"/>
      <x:c r="L82" s="142"/>
      <x:c r="M82" s="208"/>
      <x:c r="N82" s="208"/>
      <x:c r="O82" s="142"/>
      <x:c r="P82" s="142"/>
      <x:c r="Q82" s="142"/>
      <x:c r="R82" s="142"/>
      <x:c r="S82" s="142"/>
      <x:c r="T82" s="142"/>
      <x:c r="U82" s="142"/>
      <x:c r="V82" s="220"/>
      <x:c r="W82" s="142"/>
      <x:c r="X82" s="208"/>
      <x:c r="Y82" s="208"/>
      <x:c r="Z82" s="142"/>
      <x:c r="AA82" s="142"/>
      <x:c r="AB82" s="202" t="str">
        <x:f>IF(A82="","",IF(AND(B82&lt;&gt;"",D82&lt;&gt;"",F82&lt;&gt;"",H82&lt;&gt;"",M82&lt;&gt;"",N82&lt;&gt;"",Q82&lt;&gt;"",R82&lt;&gt;"",U82&lt;&gt;"",V82&lt;&gt;"",W82&lt;&gt;""),"PRONTO","PENDENTE"))</x:f>
      </x:c>
      <x:c r="AC82" s="214" t="str">
        <x:f>IF(A82="","",SUMIF('PARTICIPAÇÕES FONOGRAMA'!$A$5:$A$254,A82,'PARTICIPAÇÕES FONOGRAMA'!$I$5:$I$254))</x:f>
      </x:c>
      <x:c r="AD82" s="202" t="str">
        <x:f>IF(A82="","",IF(AC82=1,"OK 100%","CONFERIR"))</x:f>
      </x:c>
      <x:c r="AE82" s="142"/>
      <x:c r="AF82" s="142"/>
      <x:c r="AG82" s="142"/>
    </x:row>
    <x:row r="83" ht="19" customHeight="1">
      <x:c r="A83" s="142"/>
      <x:c r="B83" s="142"/>
      <x:c r="C83" s="142"/>
      <x:c r="D83" s="142"/>
      <x:c r="E83" s="142"/>
      <x:c r="F83" s="142"/>
      <x:c r="G83" s="142"/>
      <x:c r="H83" s="142"/>
      <x:c r="I83" s="142"/>
      <x:c r="J83" s="142"/>
      <x:c r="K83" s="142"/>
      <x:c r="L83" s="142"/>
      <x:c r="M83" s="208"/>
      <x:c r="N83" s="208"/>
      <x:c r="O83" s="142"/>
      <x:c r="P83" s="142"/>
      <x:c r="Q83" s="142"/>
      <x:c r="R83" s="142"/>
      <x:c r="S83" s="142"/>
      <x:c r="T83" s="142"/>
      <x:c r="U83" s="142"/>
      <x:c r="V83" s="220"/>
      <x:c r="W83" s="142"/>
      <x:c r="X83" s="208"/>
      <x:c r="Y83" s="208"/>
      <x:c r="Z83" s="142"/>
      <x:c r="AA83" s="142"/>
      <x:c r="AB83" s="202" t="str">
        <x:f>IF(A83="","",IF(AND(B83&lt;&gt;"",D83&lt;&gt;"",F83&lt;&gt;"",H83&lt;&gt;"",M83&lt;&gt;"",N83&lt;&gt;"",Q83&lt;&gt;"",R83&lt;&gt;"",U83&lt;&gt;"",V83&lt;&gt;"",W83&lt;&gt;""),"PRONTO","PENDENTE"))</x:f>
      </x:c>
      <x:c r="AC83" s="214" t="str">
        <x:f>IF(A83="","",SUMIF('PARTICIPAÇÕES FONOGRAMA'!$A$5:$A$254,A83,'PARTICIPAÇÕES FONOGRAMA'!$I$5:$I$254))</x:f>
      </x:c>
      <x:c r="AD83" s="202" t="str">
        <x:f>IF(A83="","",IF(AC83=1,"OK 100%","CONFERIR"))</x:f>
      </x:c>
      <x:c r="AE83" s="142"/>
      <x:c r="AF83" s="142"/>
      <x:c r="AG83" s="142"/>
    </x:row>
    <x:row r="84" ht="19" customHeight="1">
      <x:c r="A84" s="142"/>
      <x:c r="B84" s="142"/>
      <x:c r="C84" s="142"/>
      <x:c r="D84" s="142"/>
      <x:c r="E84" s="142"/>
      <x:c r="F84" s="142"/>
      <x:c r="G84" s="142"/>
      <x:c r="H84" s="142"/>
      <x:c r="I84" s="142"/>
      <x:c r="J84" s="142"/>
      <x:c r="K84" s="142"/>
      <x:c r="L84" s="142"/>
      <x:c r="M84" s="208"/>
      <x:c r="N84" s="208"/>
      <x:c r="O84" s="142"/>
      <x:c r="P84" s="142"/>
      <x:c r="Q84" s="142"/>
      <x:c r="R84" s="142"/>
      <x:c r="S84" s="142"/>
      <x:c r="T84" s="142"/>
      <x:c r="U84" s="142"/>
      <x:c r="V84" s="220"/>
      <x:c r="W84" s="142"/>
      <x:c r="X84" s="208"/>
      <x:c r="Y84" s="208"/>
      <x:c r="Z84" s="142"/>
      <x:c r="AA84" s="142"/>
      <x:c r="AB84" s="202" t="str">
        <x:f>IF(A84="","",IF(AND(B84&lt;&gt;"",D84&lt;&gt;"",F84&lt;&gt;"",H84&lt;&gt;"",M84&lt;&gt;"",N84&lt;&gt;"",Q84&lt;&gt;"",R84&lt;&gt;"",U84&lt;&gt;"",V84&lt;&gt;"",W84&lt;&gt;""),"PRONTO","PENDENTE"))</x:f>
      </x:c>
      <x:c r="AC84" s="214" t="str">
        <x:f>IF(A84="","",SUMIF('PARTICIPAÇÕES FONOGRAMA'!$A$5:$A$254,A84,'PARTICIPAÇÕES FONOGRAMA'!$I$5:$I$254))</x:f>
      </x:c>
      <x:c r="AD84" s="202" t="str">
        <x:f>IF(A84="","",IF(AC84=1,"OK 100%","CONFERIR"))</x:f>
      </x:c>
      <x:c r="AE84" s="142"/>
      <x:c r="AF84" s="142"/>
      <x:c r="AG84" s="142"/>
    </x:row>
    <x:row r="85" ht="19" customHeight="1">
      <x:c r="A85" s="142"/>
      <x:c r="B85" s="142"/>
      <x:c r="C85" s="142"/>
      <x:c r="D85" s="142"/>
      <x:c r="E85" s="142"/>
      <x:c r="F85" s="142"/>
      <x:c r="G85" s="142"/>
      <x:c r="H85" s="142"/>
      <x:c r="I85" s="142"/>
      <x:c r="J85" s="142"/>
      <x:c r="K85" s="142"/>
      <x:c r="L85" s="142"/>
      <x:c r="M85" s="208"/>
      <x:c r="N85" s="208"/>
      <x:c r="O85" s="142"/>
      <x:c r="P85" s="142"/>
      <x:c r="Q85" s="142"/>
      <x:c r="R85" s="142"/>
      <x:c r="S85" s="142"/>
      <x:c r="T85" s="142"/>
      <x:c r="U85" s="142"/>
      <x:c r="V85" s="220"/>
      <x:c r="W85" s="142"/>
      <x:c r="X85" s="208"/>
      <x:c r="Y85" s="208"/>
      <x:c r="Z85" s="142"/>
      <x:c r="AA85" s="142"/>
      <x:c r="AB85" s="202" t="str">
        <x:f>IF(A85="","",IF(AND(B85&lt;&gt;"",D85&lt;&gt;"",F85&lt;&gt;"",H85&lt;&gt;"",M85&lt;&gt;"",N85&lt;&gt;"",Q85&lt;&gt;"",R85&lt;&gt;"",U85&lt;&gt;"",V85&lt;&gt;"",W85&lt;&gt;""),"PRONTO","PENDENTE"))</x:f>
      </x:c>
      <x:c r="AC85" s="214" t="str">
        <x:f>IF(A85="","",SUMIF('PARTICIPAÇÕES FONOGRAMA'!$A$5:$A$254,A85,'PARTICIPAÇÕES FONOGRAMA'!$I$5:$I$254))</x:f>
      </x:c>
      <x:c r="AD85" s="202" t="str">
        <x:f>IF(A85="","",IF(AC85=1,"OK 100%","CONFERIR"))</x:f>
      </x:c>
      <x:c r="AE85" s="142"/>
      <x:c r="AF85" s="142"/>
      <x:c r="AG85" s="142"/>
    </x:row>
    <x:row r="86" ht="19" customHeight="1">
      <x:c r="A86" s="142"/>
      <x:c r="B86" s="142"/>
      <x:c r="C86" s="142"/>
      <x:c r="D86" s="142"/>
      <x:c r="E86" s="142"/>
      <x:c r="F86" s="142"/>
      <x:c r="G86" s="142"/>
      <x:c r="H86" s="142"/>
      <x:c r="I86" s="142"/>
      <x:c r="J86" s="142"/>
      <x:c r="K86" s="142"/>
      <x:c r="L86" s="142"/>
      <x:c r="M86" s="208"/>
      <x:c r="N86" s="208"/>
      <x:c r="O86" s="142"/>
      <x:c r="P86" s="142"/>
      <x:c r="Q86" s="142"/>
      <x:c r="R86" s="142"/>
      <x:c r="S86" s="142"/>
      <x:c r="T86" s="142"/>
      <x:c r="U86" s="142"/>
      <x:c r="V86" s="220"/>
      <x:c r="W86" s="142"/>
      <x:c r="X86" s="208"/>
      <x:c r="Y86" s="208"/>
      <x:c r="Z86" s="142"/>
      <x:c r="AA86" s="142"/>
      <x:c r="AB86" s="202" t="str">
        <x:f>IF(A86="","",IF(AND(B86&lt;&gt;"",D86&lt;&gt;"",F86&lt;&gt;"",H86&lt;&gt;"",M86&lt;&gt;"",N86&lt;&gt;"",Q86&lt;&gt;"",R86&lt;&gt;"",U86&lt;&gt;"",V86&lt;&gt;"",W86&lt;&gt;""),"PRONTO","PENDENTE"))</x:f>
      </x:c>
      <x:c r="AC86" s="214" t="str">
        <x:f>IF(A86="","",SUMIF('PARTICIPAÇÕES FONOGRAMA'!$A$5:$A$254,A86,'PARTICIPAÇÕES FONOGRAMA'!$I$5:$I$254))</x:f>
      </x:c>
      <x:c r="AD86" s="202" t="str">
        <x:f>IF(A86="","",IF(AC86=1,"OK 100%","CONFERIR"))</x:f>
      </x:c>
      <x:c r="AE86" s="142"/>
      <x:c r="AF86" s="142"/>
      <x:c r="AG86" s="142"/>
    </x:row>
    <x:row r="87" ht="19" customHeight="1">
      <x:c r="A87" s="142"/>
      <x:c r="B87" s="142"/>
      <x:c r="C87" s="142"/>
      <x:c r="D87" s="142"/>
      <x:c r="E87" s="142"/>
      <x:c r="F87" s="142"/>
      <x:c r="G87" s="142"/>
      <x:c r="H87" s="142"/>
      <x:c r="I87" s="142"/>
      <x:c r="J87" s="142"/>
      <x:c r="K87" s="142"/>
      <x:c r="L87" s="142"/>
      <x:c r="M87" s="208"/>
      <x:c r="N87" s="208"/>
      <x:c r="O87" s="142"/>
      <x:c r="P87" s="142"/>
      <x:c r="Q87" s="142"/>
      <x:c r="R87" s="142"/>
      <x:c r="S87" s="142"/>
      <x:c r="T87" s="142"/>
      <x:c r="U87" s="142"/>
      <x:c r="V87" s="220"/>
      <x:c r="W87" s="142"/>
      <x:c r="X87" s="208"/>
      <x:c r="Y87" s="208"/>
      <x:c r="Z87" s="142"/>
      <x:c r="AA87" s="142"/>
      <x:c r="AB87" s="202" t="str">
        <x:f>IF(A87="","",IF(AND(B87&lt;&gt;"",D87&lt;&gt;"",F87&lt;&gt;"",H87&lt;&gt;"",M87&lt;&gt;"",N87&lt;&gt;"",Q87&lt;&gt;"",R87&lt;&gt;"",U87&lt;&gt;"",V87&lt;&gt;"",W87&lt;&gt;""),"PRONTO","PENDENTE"))</x:f>
      </x:c>
      <x:c r="AC87" s="214" t="str">
        <x:f>IF(A87="","",SUMIF('PARTICIPAÇÕES FONOGRAMA'!$A$5:$A$254,A87,'PARTICIPAÇÕES FONOGRAMA'!$I$5:$I$254))</x:f>
      </x:c>
      <x:c r="AD87" s="202" t="str">
        <x:f>IF(A87="","",IF(AC87=1,"OK 100%","CONFERIR"))</x:f>
      </x:c>
      <x:c r="AE87" s="142"/>
      <x:c r="AF87" s="142"/>
      <x:c r="AG87" s="142"/>
    </x:row>
    <x:row r="88" ht="19" customHeight="1">
      <x:c r="A88" s="142"/>
      <x:c r="B88" s="142"/>
      <x:c r="C88" s="142"/>
      <x:c r="D88" s="142"/>
      <x:c r="E88" s="142"/>
      <x:c r="F88" s="142"/>
      <x:c r="G88" s="142"/>
      <x:c r="H88" s="142"/>
      <x:c r="I88" s="142"/>
      <x:c r="J88" s="142"/>
      <x:c r="K88" s="142"/>
      <x:c r="L88" s="142"/>
      <x:c r="M88" s="208"/>
      <x:c r="N88" s="208"/>
      <x:c r="O88" s="142"/>
      <x:c r="P88" s="142"/>
      <x:c r="Q88" s="142"/>
      <x:c r="R88" s="142"/>
      <x:c r="S88" s="142"/>
      <x:c r="T88" s="142"/>
      <x:c r="U88" s="142"/>
      <x:c r="V88" s="220"/>
      <x:c r="W88" s="142"/>
      <x:c r="X88" s="208"/>
      <x:c r="Y88" s="208"/>
      <x:c r="Z88" s="142"/>
      <x:c r="AA88" s="142"/>
      <x:c r="AB88" s="202" t="str">
        <x:f>IF(A88="","",IF(AND(B88&lt;&gt;"",D88&lt;&gt;"",F88&lt;&gt;"",H88&lt;&gt;"",M88&lt;&gt;"",N88&lt;&gt;"",Q88&lt;&gt;"",R88&lt;&gt;"",U88&lt;&gt;"",V88&lt;&gt;"",W88&lt;&gt;""),"PRONTO","PENDENTE"))</x:f>
      </x:c>
      <x:c r="AC88" s="214" t="str">
        <x:f>IF(A88="","",SUMIF('PARTICIPAÇÕES FONOGRAMA'!$A$5:$A$254,A88,'PARTICIPAÇÕES FONOGRAMA'!$I$5:$I$254))</x:f>
      </x:c>
      <x:c r="AD88" s="202" t="str">
        <x:f>IF(A88="","",IF(AC88=1,"OK 100%","CONFERIR"))</x:f>
      </x:c>
      <x:c r="AE88" s="142"/>
      <x:c r="AF88" s="142"/>
      <x:c r="AG88" s="142"/>
    </x:row>
    <x:row r="89" ht="19" customHeight="1">
      <x:c r="A89" s="142"/>
      <x:c r="B89" s="142"/>
      <x:c r="C89" s="142"/>
      <x:c r="D89" s="142"/>
      <x:c r="E89" s="142"/>
      <x:c r="F89" s="142"/>
      <x:c r="G89" s="142"/>
      <x:c r="H89" s="142"/>
      <x:c r="I89" s="142"/>
      <x:c r="J89" s="142"/>
      <x:c r="K89" s="142"/>
      <x:c r="L89" s="142"/>
      <x:c r="M89" s="208"/>
      <x:c r="N89" s="208"/>
      <x:c r="O89" s="142"/>
      <x:c r="P89" s="142"/>
      <x:c r="Q89" s="142"/>
      <x:c r="R89" s="142"/>
      <x:c r="S89" s="142"/>
      <x:c r="T89" s="142"/>
      <x:c r="U89" s="142"/>
      <x:c r="V89" s="220"/>
      <x:c r="W89" s="142"/>
      <x:c r="X89" s="208"/>
      <x:c r="Y89" s="208"/>
      <x:c r="Z89" s="142"/>
      <x:c r="AA89" s="142"/>
      <x:c r="AB89" s="202" t="str">
        <x:f>IF(A89="","",IF(AND(B89&lt;&gt;"",D89&lt;&gt;"",F89&lt;&gt;"",H89&lt;&gt;"",M89&lt;&gt;"",N89&lt;&gt;"",Q89&lt;&gt;"",R89&lt;&gt;"",U89&lt;&gt;"",V89&lt;&gt;"",W89&lt;&gt;""),"PRONTO","PENDENTE"))</x:f>
      </x:c>
      <x:c r="AC89" s="214" t="str">
        <x:f>IF(A89="","",SUMIF('PARTICIPAÇÕES FONOGRAMA'!$A$5:$A$254,A89,'PARTICIPAÇÕES FONOGRAMA'!$I$5:$I$254))</x:f>
      </x:c>
      <x:c r="AD89" s="202" t="str">
        <x:f>IF(A89="","",IF(AC89=1,"OK 100%","CONFERIR"))</x:f>
      </x:c>
      <x:c r="AE89" s="142"/>
      <x:c r="AF89" s="142"/>
      <x:c r="AG89" s="142"/>
    </x:row>
    <x:row r="90" ht="19" customHeight="1">
      <x:c r="A90" s="142"/>
      <x:c r="B90" s="142"/>
      <x:c r="C90" s="142"/>
      <x:c r="D90" s="142"/>
      <x:c r="E90" s="142"/>
      <x:c r="F90" s="142"/>
      <x:c r="G90" s="142"/>
      <x:c r="H90" s="142"/>
      <x:c r="I90" s="142"/>
      <x:c r="J90" s="142"/>
      <x:c r="K90" s="142"/>
      <x:c r="L90" s="142"/>
      <x:c r="M90" s="208"/>
      <x:c r="N90" s="208"/>
      <x:c r="O90" s="142"/>
      <x:c r="P90" s="142"/>
      <x:c r="Q90" s="142"/>
      <x:c r="R90" s="142"/>
      <x:c r="S90" s="142"/>
      <x:c r="T90" s="142"/>
      <x:c r="U90" s="142"/>
      <x:c r="V90" s="220"/>
      <x:c r="W90" s="142"/>
      <x:c r="X90" s="208"/>
      <x:c r="Y90" s="208"/>
      <x:c r="Z90" s="142"/>
      <x:c r="AA90" s="142"/>
      <x:c r="AB90" s="202" t="str">
        <x:f>IF(A90="","",IF(AND(B90&lt;&gt;"",D90&lt;&gt;"",F90&lt;&gt;"",H90&lt;&gt;"",M90&lt;&gt;"",N90&lt;&gt;"",Q90&lt;&gt;"",R90&lt;&gt;"",U90&lt;&gt;"",V90&lt;&gt;"",W90&lt;&gt;""),"PRONTO","PENDENTE"))</x:f>
      </x:c>
      <x:c r="AC90" s="214" t="str">
        <x:f>IF(A90="","",SUMIF('PARTICIPAÇÕES FONOGRAMA'!$A$5:$A$254,A90,'PARTICIPAÇÕES FONOGRAMA'!$I$5:$I$254))</x:f>
      </x:c>
      <x:c r="AD90" s="202" t="str">
        <x:f>IF(A90="","",IF(AC90=1,"OK 100%","CONFERIR"))</x:f>
      </x:c>
      <x:c r="AE90" s="142"/>
      <x:c r="AF90" s="142"/>
      <x:c r="AG90" s="142"/>
    </x:row>
    <x:row r="91" ht="19" customHeight="1">
      <x:c r="A91" s="142"/>
      <x:c r="B91" s="142"/>
      <x:c r="C91" s="142"/>
      <x:c r="D91" s="142"/>
      <x:c r="E91" s="142"/>
      <x:c r="F91" s="142"/>
      <x:c r="G91" s="142"/>
      <x:c r="H91" s="142"/>
      <x:c r="I91" s="142"/>
      <x:c r="J91" s="142"/>
      <x:c r="K91" s="142"/>
      <x:c r="L91" s="142"/>
      <x:c r="M91" s="208"/>
      <x:c r="N91" s="208"/>
      <x:c r="O91" s="142"/>
      <x:c r="P91" s="142"/>
      <x:c r="Q91" s="142"/>
      <x:c r="R91" s="142"/>
      <x:c r="S91" s="142"/>
      <x:c r="T91" s="142"/>
      <x:c r="U91" s="142"/>
      <x:c r="V91" s="220"/>
      <x:c r="W91" s="142"/>
      <x:c r="X91" s="208"/>
      <x:c r="Y91" s="208"/>
      <x:c r="Z91" s="142"/>
      <x:c r="AA91" s="142"/>
      <x:c r="AB91" s="202" t="str">
        <x:f>IF(A91="","",IF(AND(B91&lt;&gt;"",D91&lt;&gt;"",F91&lt;&gt;"",H91&lt;&gt;"",M91&lt;&gt;"",N91&lt;&gt;"",Q91&lt;&gt;"",R91&lt;&gt;"",U91&lt;&gt;"",V91&lt;&gt;"",W91&lt;&gt;""),"PRONTO","PENDENTE"))</x:f>
      </x:c>
      <x:c r="AC91" s="214" t="str">
        <x:f>IF(A91="","",SUMIF('PARTICIPAÇÕES FONOGRAMA'!$A$5:$A$254,A91,'PARTICIPAÇÕES FONOGRAMA'!$I$5:$I$254))</x:f>
      </x:c>
      <x:c r="AD91" s="202" t="str">
        <x:f>IF(A91="","",IF(AC91=1,"OK 100%","CONFERIR"))</x:f>
      </x:c>
      <x:c r="AE91" s="142"/>
      <x:c r="AF91" s="142"/>
      <x:c r="AG91" s="142"/>
    </x:row>
    <x:row r="92" ht="19" customHeight="1">
      <x:c r="A92" s="142"/>
      <x:c r="B92" s="142"/>
      <x:c r="C92" s="142"/>
      <x:c r="D92" s="142"/>
      <x:c r="E92" s="142"/>
      <x:c r="F92" s="142"/>
      <x:c r="G92" s="142"/>
      <x:c r="H92" s="142"/>
      <x:c r="I92" s="142"/>
      <x:c r="J92" s="142"/>
      <x:c r="K92" s="142"/>
      <x:c r="L92" s="142"/>
      <x:c r="M92" s="208"/>
      <x:c r="N92" s="208"/>
      <x:c r="O92" s="142"/>
      <x:c r="P92" s="142"/>
      <x:c r="Q92" s="142"/>
      <x:c r="R92" s="142"/>
      <x:c r="S92" s="142"/>
      <x:c r="T92" s="142"/>
      <x:c r="U92" s="142"/>
      <x:c r="V92" s="220"/>
      <x:c r="W92" s="142"/>
      <x:c r="X92" s="208"/>
      <x:c r="Y92" s="208"/>
      <x:c r="Z92" s="142"/>
      <x:c r="AA92" s="142"/>
      <x:c r="AB92" s="202" t="str">
        <x:f>IF(A92="","",IF(AND(B92&lt;&gt;"",D92&lt;&gt;"",F92&lt;&gt;"",H92&lt;&gt;"",M92&lt;&gt;"",N92&lt;&gt;"",Q92&lt;&gt;"",R92&lt;&gt;"",U92&lt;&gt;"",V92&lt;&gt;"",W92&lt;&gt;""),"PRONTO","PENDENTE"))</x:f>
      </x:c>
      <x:c r="AC92" s="214" t="str">
        <x:f>IF(A92="","",SUMIF('PARTICIPAÇÕES FONOGRAMA'!$A$5:$A$254,A92,'PARTICIPAÇÕES FONOGRAMA'!$I$5:$I$254))</x:f>
      </x:c>
      <x:c r="AD92" s="202" t="str">
        <x:f>IF(A92="","",IF(AC92=1,"OK 100%","CONFERIR"))</x:f>
      </x:c>
      <x:c r="AE92" s="142"/>
      <x:c r="AF92" s="142"/>
      <x:c r="AG92" s="142"/>
    </x:row>
    <x:row r="93" ht="19" customHeight="1">
      <x:c r="A93" s="142"/>
      <x:c r="B93" s="142"/>
      <x:c r="C93" s="142"/>
      <x:c r="D93" s="142"/>
      <x:c r="E93" s="142"/>
      <x:c r="F93" s="142"/>
      <x:c r="G93" s="142"/>
      <x:c r="H93" s="142"/>
      <x:c r="I93" s="142"/>
      <x:c r="J93" s="142"/>
      <x:c r="K93" s="142"/>
      <x:c r="L93" s="142"/>
      <x:c r="M93" s="208"/>
      <x:c r="N93" s="208"/>
      <x:c r="O93" s="142"/>
      <x:c r="P93" s="142"/>
      <x:c r="Q93" s="142"/>
      <x:c r="R93" s="142"/>
      <x:c r="S93" s="142"/>
      <x:c r="T93" s="142"/>
      <x:c r="U93" s="142"/>
      <x:c r="V93" s="220"/>
      <x:c r="W93" s="142"/>
      <x:c r="X93" s="208"/>
      <x:c r="Y93" s="208"/>
      <x:c r="Z93" s="142"/>
      <x:c r="AA93" s="142"/>
      <x:c r="AB93" s="202" t="str">
        <x:f>IF(A93="","",IF(AND(B93&lt;&gt;"",D93&lt;&gt;"",F93&lt;&gt;"",H93&lt;&gt;"",M93&lt;&gt;"",N93&lt;&gt;"",Q93&lt;&gt;"",R93&lt;&gt;"",U93&lt;&gt;"",V93&lt;&gt;"",W93&lt;&gt;""),"PRONTO","PENDENTE"))</x:f>
      </x:c>
      <x:c r="AC93" s="214" t="str">
        <x:f>IF(A93="","",SUMIF('PARTICIPAÇÕES FONOGRAMA'!$A$5:$A$254,A93,'PARTICIPAÇÕES FONOGRAMA'!$I$5:$I$254))</x:f>
      </x:c>
      <x:c r="AD93" s="202" t="str">
        <x:f>IF(A93="","",IF(AC93=1,"OK 100%","CONFERIR"))</x:f>
      </x:c>
      <x:c r="AE93" s="142"/>
      <x:c r="AF93" s="142"/>
      <x:c r="AG93" s="142"/>
    </x:row>
    <x:row r="94" ht="19" customHeight="1">
      <x:c r="A94" s="142"/>
      <x:c r="B94" s="142"/>
      <x:c r="C94" s="142"/>
      <x:c r="D94" s="142"/>
      <x:c r="E94" s="142"/>
      <x:c r="F94" s="142"/>
      <x:c r="G94" s="142"/>
      <x:c r="H94" s="142"/>
      <x:c r="I94" s="142"/>
      <x:c r="J94" s="142"/>
      <x:c r="K94" s="142"/>
      <x:c r="L94" s="142"/>
      <x:c r="M94" s="208"/>
      <x:c r="N94" s="208"/>
      <x:c r="O94" s="142"/>
      <x:c r="P94" s="142"/>
      <x:c r="Q94" s="142"/>
      <x:c r="R94" s="142"/>
      <x:c r="S94" s="142"/>
      <x:c r="T94" s="142"/>
      <x:c r="U94" s="142"/>
      <x:c r="V94" s="220"/>
      <x:c r="W94" s="142"/>
      <x:c r="X94" s="208"/>
      <x:c r="Y94" s="208"/>
      <x:c r="Z94" s="142"/>
      <x:c r="AA94" s="142"/>
      <x:c r="AB94" s="202" t="str">
        <x:f>IF(A94="","",IF(AND(B94&lt;&gt;"",D94&lt;&gt;"",F94&lt;&gt;"",H94&lt;&gt;"",M94&lt;&gt;"",N94&lt;&gt;"",Q94&lt;&gt;"",R94&lt;&gt;"",U94&lt;&gt;"",V94&lt;&gt;"",W94&lt;&gt;""),"PRONTO","PENDENTE"))</x:f>
      </x:c>
      <x:c r="AC94" s="214" t="str">
        <x:f>IF(A94="","",SUMIF('PARTICIPAÇÕES FONOGRAMA'!$A$5:$A$254,A94,'PARTICIPAÇÕES FONOGRAMA'!$I$5:$I$254))</x:f>
      </x:c>
      <x:c r="AD94" s="202" t="str">
        <x:f>IF(A94="","",IF(AC94=1,"OK 100%","CONFERIR"))</x:f>
      </x:c>
      <x:c r="AE94" s="142"/>
      <x:c r="AF94" s="142"/>
      <x:c r="AG94" s="142"/>
    </x:row>
    <x:row r="95" ht="19" customHeight="1">
      <x:c r="A95" s="142"/>
      <x:c r="B95" s="142"/>
      <x:c r="C95" s="142"/>
      <x:c r="D95" s="142"/>
      <x:c r="E95" s="142"/>
      <x:c r="F95" s="142"/>
      <x:c r="G95" s="142"/>
      <x:c r="H95" s="142"/>
      <x:c r="I95" s="142"/>
      <x:c r="J95" s="142"/>
      <x:c r="K95" s="142"/>
      <x:c r="L95" s="142"/>
      <x:c r="M95" s="208"/>
      <x:c r="N95" s="208"/>
      <x:c r="O95" s="142"/>
      <x:c r="P95" s="142"/>
      <x:c r="Q95" s="142"/>
      <x:c r="R95" s="142"/>
      <x:c r="S95" s="142"/>
      <x:c r="T95" s="142"/>
      <x:c r="U95" s="142"/>
      <x:c r="V95" s="220"/>
      <x:c r="W95" s="142"/>
      <x:c r="X95" s="208"/>
      <x:c r="Y95" s="208"/>
      <x:c r="Z95" s="142"/>
      <x:c r="AA95" s="142"/>
      <x:c r="AB95" s="202" t="str">
        <x:f>IF(A95="","",IF(AND(B95&lt;&gt;"",D95&lt;&gt;"",F95&lt;&gt;"",H95&lt;&gt;"",M95&lt;&gt;"",N95&lt;&gt;"",Q95&lt;&gt;"",R95&lt;&gt;"",U95&lt;&gt;"",V95&lt;&gt;"",W95&lt;&gt;""),"PRONTO","PENDENTE"))</x:f>
      </x:c>
      <x:c r="AC95" s="214" t="str">
        <x:f>IF(A95="","",SUMIF('PARTICIPAÇÕES FONOGRAMA'!$A$5:$A$254,A95,'PARTICIPAÇÕES FONOGRAMA'!$I$5:$I$254))</x:f>
      </x:c>
      <x:c r="AD95" s="202" t="str">
        <x:f>IF(A95="","",IF(AC95=1,"OK 100%","CONFERIR"))</x:f>
      </x:c>
      <x:c r="AE95" s="142"/>
      <x:c r="AF95" s="142"/>
      <x:c r="AG95" s="142"/>
    </x:row>
    <x:row r="96" ht="19" customHeight="1">
      <x:c r="A96" s="142"/>
      <x:c r="B96" s="142"/>
      <x:c r="C96" s="142"/>
      <x:c r="D96" s="142"/>
      <x:c r="E96" s="142"/>
      <x:c r="F96" s="142"/>
      <x:c r="G96" s="142"/>
      <x:c r="H96" s="142"/>
      <x:c r="I96" s="142"/>
      <x:c r="J96" s="142"/>
      <x:c r="K96" s="142"/>
      <x:c r="L96" s="142"/>
      <x:c r="M96" s="208"/>
      <x:c r="N96" s="208"/>
      <x:c r="O96" s="142"/>
      <x:c r="P96" s="142"/>
      <x:c r="Q96" s="142"/>
      <x:c r="R96" s="142"/>
      <x:c r="S96" s="142"/>
      <x:c r="T96" s="142"/>
      <x:c r="U96" s="142"/>
      <x:c r="V96" s="220"/>
      <x:c r="W96" s="142"/>
      <x:c r="X96" s="208"/>
      <x:c r="Y96" s="208"/>
      <x:c r="Z96" s="142"/>
      <x:c r="AA96" s="142"/>
      <x:c r="AB96" s="202" t="str">
        <x:f>IF(A96="","",IF(AND(B96&lt;&gt;"",D96&lt;&gt;"",F96&lt;&gt;"",H96&lt;&gt;"",M96&lt;&gt;"",N96&lt;&gt;"",Q96&lt;&gt;"",R96&lt;&gt;"",U96&lt;&gt;"",V96&lt;&gt;"",W96&lt;&gt;""),"PRONTO","PENDENTE"))</x:f>
      </x:c>
      <x:c r="AC96" s="214" t="str">
        <x:f>IF(A96="","",SUMIF('PARTICIPAÇÕES FONOGRAMA'!$A$5:$A$254,A96,'PARTICIPAÇÕES FONOGRAMA'!$I$5:$I$254))</x:f>
      </x:c>
      <x:c r="AD96" s="202" t="str">
        <x:f>IF(A96="","",IF(AC96=1,"OK 100%","CONFERIR"))</x:f>
      </x:c>
      <x:c r="AE96" s="142"/>
      <x:c r="AF96" s="142"/>
      <x:c r="AG96" s="142"/>
    </x:row>
    <x:row r="97" ht="19" customHeight="1">
      <x:c r="A97" s="142"/>
      <x:c r="B97" s="142"/>
      <x:c r="C97" s="142"/>
      <x:c r="D97" s="142"/>
      <x:c r="E97" s="142"/>
      <x:c r="F97" s="142"/>
      <x:c r="G97" s="142"/>
      <x:c r="H97" s="142"/>
      <x:c r="I97" s="142"/>
      <x:c r="J97" s="142"/>
      <x:c r="K97" s="142"/>
      <x:c r="L97" s="142"/>
      <x:c r="M97" s="208"/>
      <x:c r="N97" s="208"/>
      <x:c r="O97" s="142"/>
      <x:c r="P97" s="142"/>
      <x:c r="Q97" s="142"/>
      <x:c r="R97" s="142"/>
      <x:c r="S97" s="142"/>
      <x:c r="T97" s="142"/>
      <x:c r="U97" s="142"/>
      <x:c r="V97" s="220"/>
      <x:c r="W97" s="142"/>
      <x:c r="X97" s="208"/>
      <x:c r="Y97" s="208"/>
      <x:c r="Z97" s="142"/>
      <x:c r="AA97" s="142"/>
      <x:c r="AB97" s="202" t="str">
        <x:f>IF(A97="","",IF(AND(B97&lt;&gt;"",D97&lt;&gt;"",F97&lt;&gt;"",H97&lt;&gt;"",M97&lt;&gt;"",N97&lt;&gt;"",Q97&lt;&gt;"",R97&lt;&gt;"",U97&lt;&gt;"",V97&lt;&gt;"",W97&lt;&gt;""),"PRONTO","PENDENTE"))</x:f>
      </x:c>
      <x:c r="AC97" s="214" t="str">
        <x:f>IF(A97="","",SUMIF('PARTICIPAÇÕES FONOGRAMA'!$A$5:$A$254,A97,'PARTICIPAÇÕES FONOGRAMA'!$I$5:$I$254))</x:f>
      </x:c>
      <x:c r="AD97" s="202" t="str">
        <x:f>IF(A97="","",IF(AC97=1,"OK 100%","CONFERIR"))</x:f>
      </x:c>
      <x:c r="AE97" s="142"/>
      <x:c r="AF97" s="142"/>
      <x:c r="AG97" s="142"/>
    </x:row>
    <x:row r="98" ht="19" customHeight="1">
      <x:c r="A98" s="142"/>
      <x:c r="B98" s="142"/>
      <x:c r="C98" s="142"/>
      <x:c r="D98" s="142"/>
      <x:c r="E98" s="142"/>
      <x:c r="F98" s="142"/>
      <x:c r="G98" s="142"/>
      <x:c r="H98" s="142"/>
      <x:c r="I98" s="142"/>
      <x:c r="J98" s="142"/>
      <x:c r="K98" s="142"/>
      <x:c r="L98" s="142"/>
      <x:c r="M98" s="208"/>
      <x:c r="N98" s="208"/>
      <x:c r="O98" s="142"/>
      <x:c r="P98" s="142"/>
      <x:c r="Q98" s="142"/>
      <x:c r="R98" s="142"/>
      <x:c r="S98" s="142"/>
      <x:c r="T98" s="142"/>
      <x:c r="U98" s="142"/>
      <x:c r="V98" s="220"/>
      <x:c r="W98" s="142"/>
      <x:c r="X98" s="208"/>
      <x:c r="Y98" s="208"/>
      <x:c r="Z98" s="142"/>
      <x:c r="AA98" s="142"/>
      <x:c r="AB98" s="202" t="str">
        <x:f>IF(A98="","",IF(AND(B98&lt;&gt;"",D98&lt;&gt;"",F98&lt;&gt;"",H98&lt;&gt;"",M98&lt;&gt;"",N98&lt;&gt;"",Q98&lt;&gt;"",R98&lt;&gt;"",U98&lt;&gt;"",V98&lt;&gt;"",W98&lt;&gt;""),"PRONTO","PENDENTE"))</x:f>
      </x:c>
      <x:c r="AC98" s="214" t="str">
        <x:f>IF(A98="","",SUMIF('PARTICIPAÇÕES FONOGRAMA'!$A$5:$A$254,A98,'PARTICIPAÇÕES FONOGRAMA'!$I$5:$I$254))</x:f>
      </x:c>
      <x:c r="AD98" s="202" t="str">
        <x:f>IF(A98="","",IF(AC98=1,"OK 100%","CONFERIR"))</x:f>
      </x:c>
      <x:c r="AE98" s="142"/>
      <x:c r="AF98" s="142"/>
      <x:c r="AG98" s="142"/>
    </x:row>
    <x:row r="99" ht="19" customHeight="1">
      <x:c r="A99" s="142"/>
      <x:c r="B99" s="142"/>
      <x:c r="C99" s="142"/>
      <x:c r="D99" s="142"/>
      <x:c r="E99" s="142"/>
      <x:c r="F99" s="142"/>
      <x:c r="G99" s="142"/>
      <x:c r="H99" s="142"/>
      <x:c r="I99" s="142"/>
      <x:c r="J99" s="142"/>
      <x:c r="K99" s="142"/>
      <x:c r="L99" s="142"/>
      <x:c r="M99" s="208"/>
      <x:c r="N99" s="208"/>
      <x:c r="O99" s="142"/>
      <x:c r="P99" s="142"/>
      <x:c r="Q99" s="142"/>
      <x:c r="R99" s="142"/>
      <x:c r="S99" s="142"/>
      <x:c r="T99" s="142"/>
      <x:c r="U99" s="142"/>
      <x:c r="V99" s="220"/>
      <x:c r="W99" s="142"/>
      <x:c r="X99" s="208"/>
      <x:c r="Y99" s="208"/>
      <x:c r="Z99" s="142"/>
      <x:c r="AA99" s="142"/>
      <x:c r="AB99" s="202" t="str">
        <x:f>IF(A99="","",IF(AND(B99&lt;&gt;"",D99&lt;&gt;"",F99&lt;&gt;"",H99&lt;&gt;"",M99&lt;&gt;"",N99&lt;&gt;"",Q99&lt;&gt;"",R99&lt;&gt;"",U99&lt;&gt;"",V99&lt;&gt;"",W99&lt;&gt;""),"PRONTO","PENDENTE"))</x:f>
      </x:c>
      <x:c r="AC99" s="214" t="str">
        <x:f>IF(A99="","",SUMIF('PARTICIPAÇÕES FONOGRAMA'!$A$5:$A$254,A99,'PARTICIPAÇÕES FONOGRAMA'!$I$5:$I$254))</x:f>
      </x:c>
      <x:c r="AD99" s="202" t="str">
        <x:f>IF(A99="","",IF(AC99=1,"OK 100%","CONFERIR"))</x:f>
      </x:c>
      <x:c r="AE99" s="142"/>
      <x:c r="AF99" s="142"/>
      <x:c r="AG99" s="142"/>
    </x:row>
    <x:row r="100" ht="19" customHeight="1">
      <x:c r="A100" s="142"/>
      <x:c r="B100" s="142"/>
      <x:c r="C100" s="142"/>
      <x:c r="D100" s="142"/>
      <x:c r="E100" s="142"/>
      <x:c r="F100" s="142"/>
      <x:c r="G100" s="142"/>
      <x:c r="H100" s="142"/>
      <x:c r="I100" s="142"/>
      <x:c r="J100" s="142"/>
      <x:c r="K100" s="142"/>
      <x:c r="L100" s="142"/>
      <x:c r="M100" s="208"/>
      <x:c r="N100" s="208"/>
      <x:c r="O100" s="142"/>
      <x:c r="P100" s="142"/>
      <x:c r="Q100" s="142"/>
      <x:c r="R100" s="142"/>
      <x:c r="S100" s="142"/>
      <x:c r="T100" s="142"/>
      <x:c r="U100" s="142"/>
      <x:c r="V100" s="220"/>
      <x:c r="W100" s="142"/>
      <x:c r="X100" s="208"/>
      <x:c r="Y100" s="208"/>
      <x:c r="Z100" s="142"/>
      <x:c r="AA100" s="142"/>
      <x:c r="AB100" s="202" t="str">
        <x:f>IF(A100="","",IF(AND(B100&lt;&gt;"",D100&lt;&gt;"",F100&lt;&gt;"",H100&lt;&gt;"",M100&lt;&gt;"",N100&lt;&gt;"",Q100&lt;&gt;"",R100&lt;&gt;"",U100&lt;&gt;"",V100&lt;&gt;"",W100&lt;&gt;""),"PRONTO","PENDENTE"))</x:f>
      </x:c>
      <x:c r="AC100" s="214" t="str">
        <x:f>IF(A100="","",SUMIF('PARTICIPAÇÕES FONOGRAMA'!$A$5:$A$254,A100,'PARTICIPAÇÕES FONOGRAMA'!$I$5:$I$254))</x:f>
      </x:c>
      <x:c r="AD100" s="202" t="str">
        <x:f>IF(A100="","",IF(AC100=1,"OK 100%","CONFERIR"))</x:f>
      </x:c>
      <x:c r="AE100" s="142"/>
      <x:c r="AF100" s="142"/>
      <x:c r="AG100" s="142"/>
    </x:row>
    <x:row r="101" ht="19" customHeight="1">
      <x:c r="A101" s="142"/>
      <x:c r="B101" s="142"/>
      <x:c r="C101" s="142"/>
      <x:c r="D101" s="142"/>
      <x:c r="E101" s="142"/>
      <x:c r="F101" s="142"/>
      <x:c r="G101" s="142"/>
      <x:c r="H101" s="142"/>
      <x:c r="I101" s="142"/>
      <x:c r="J101" s="142"/>
      <x:c r="K101" s="142"/>
      <x:c r="L101" s="142"/>
      <x:c r="M101" s="208"/>
      <x:c r="N101" s="208"/>
      <x:c r="O101" s="142"/>
      <x:c r="P101" s="142"/>
      <x:c r="Q101" s="142"/>
      <x:c r="R101" s="142"/>
      <x:c r="S101" s="142"/>
      <x:c r="T101" s="142"/>
      <x:c r="U101" s="142"/>
      <x:c r="V101" s="220"/>
      <x:c r="W101" s="142"/>
      <x:c r="X101" s="208"/>
      <x:c r="Y101" s="208"/>
      <x:c r="Z101" s="142"/>
      <x:c r="AA101" s="142"/>
      <x:c r="AB101" s="202" t="str">
        <x:f>IF(A101="","",IF(AND(B101&lt;&gt;"",D101&lt;&gt;"",F101&lt;&gt;"",H101&lt;&gt;"",M101&lt;&gt;"",N101&lt;&gt;"",Q101&lt;&gt;"",R101&lt;&gt;"",U101&lt;&gt;"",V101&lt;&gt;"",W101&lt;&gt;""),"PRONTO","PENDENTE"))</x:f>
      </x:c>
      <x:c r="AC101" s="214" t="str">
        <x:f>IF(A101="","",SUMIF('PARTICIPAÇÕES FONOGRAMA'!$A$5:$A$254,A101,'PARTICIPAÇÕES FONOGRAMA'!$I$5:$I$254))</x:f>
      </x:c>
      <x:c r="AD101" s="202" t="str">
        <x:f>IF(A101="","",IF(AC101=1,"OK 100%","CONFERIR"))</x:f>
      </x:c>
      <x:c r="AE101" s="142"/>
      <x:c r="AF101" s="142"/>
      <x:c r="AG101" s="142"/>
    </x:row>
    <x:row r="102" ht="19" customHeight="1">
      <x:c r="A102" s="142"/>
      <x:c r="B102" s="142"/>
      <x:c r="C102" s="142"/>
      <x:c r="D102" s="142"/>
      <x:c r="E102" s="142"/>
      <x:c r="F102" s="142"/>
      <x:c r="G102" s="142"/>
      <x:c r="H102" s="142"/>
      <x:c r="I102" s="142"/>
      <x:c r="J102" s="142"/>
      <x:c r="K102" s="142"/>
      <x:c r="L102" s="142"/>
      <x:c r="M102" s="208"/>
      <x:c r="N102" s="208"/>
      <x:c r="O102" s="142"/>
      <x:c r="P102" s="142"/>
      <x:c r="Q102" s="142"/>
      <x:c r="R102" s="142"/>
      <x:c r="S102" s="142"/>
      <x:c r="T102" s="142"/>
      <x:c r="U102" s="142"/>
      <x:c r="V102" s="220"/>
      <x:c r="W102" s="142"/>
      <x:c r="X102" s="208"/>
      <x:c r="Y102" s="208"/>
      <x:c r="Z102" s="142"/>
      <x:c r="AA102" s="142"/>
      <x:c r="AB102" s="202" t="str">
        <x:f>IF(A102="","",IF(AND(B102&lt;&gt;"",D102&lt;&gt;"",F102&lt;&gt;"",H102&lt;&gt;"",M102&lt;&gt;"",N102&lt;&gt;"",Q102&lt;&gt;"",R102&lt;&gt;"",U102&lt;&gt;"",V102&lt;&gt;"",W102&lt;&gt;""),"PRONTO","PENDENTE"))</x:f>
      </x:c>
      <x:c r="AC102" s="214" t="str">
        <x:f>IF(A102="","",SUMIF('PARTICIPAÇÕES FONOGRAMA'!$A$5:$A$254,A102,'PARTICIPAÇÕES FONOGRAMA'!$I$5:$I$254))</x:f>
      </x:c>
      <x:c r="AD102" s="202" t="str">
        <x:f>IF(A102="","",IF(AC102=1,"OK 100%","CONFERIR"))</x:f>
      </x:c>
      <x:c r="AE102" s="142"/>
      <x:c r="AF102" s="142"/>
      <x:c r="AG102" s="142"/>
    </x:row>
    <x:row r="103" ht="19" customHeight="1">
      <x:c r="A103" s="142"/>
      <x:c r="B103" s="142"/>
      <x:c r="C103" s="142"/>
      <x:c r="D103" s="142"/>
      <x:c r="E103" s="142"/>
      <x:c r="F103" s="142"/>
      <x:c r="G103" s="142"/>
      <x:c r="H103" s="142"/>
      <x:c r="I103" s="142"/>
      <x:c r="J103" s="142"/>
      <x:c r="K103" s="142"/>
      <x:c r="L103" s="142"/>
      <x:c r="M103" s="208"/>
      <x:c r="N103" s="208"/>
      <x:c r="O103" s="142"/>
      <x:c r="P103" s="142"/>
      <x:c r="Q103" s="142"/>
      <x:c r="R103" s="142"/>
      <x:c r="S103" s="142"/>
      <x:c r="T103" s="142"/>
      <x:c r="U103" s="142"/>
      <x:c r="V103" s="220"/>
      <x:c r="W103" s="142"/>
      <x:c r="X103" s="208"/>
      <x:c r="Y103" s="208"/>
      <x:c r="Z103" s="142"/>
      <x:c r="AA103" s="142"/>
      <x:c r="AB103" s="202" t="str">
        <x:f>IF(A103="","",IF(AND(B103&lt;&gt;"",D103&lt;&gt;"",F103&lt;&gt;"",H103&lt;&gt;"",M103&lt;&gt;"",N103&lt;&gt;"",Q103&lt;&gt;"",R103&lt;&gt;"",U103&lt;&gt;"",V103&lt;&gt;"",W103&lt;&gt;""),"PRONTO","PENDENTE"))</x:f>
      </x:c>
      <x:c r="AC103" s="214" t="str">
        <x:f>IF(A103="","",SUMIF('PARTICIPAÇÕES FONOGRAMA'!$A$5:$A$254,A103,'PARTICIPAÇÕES FONOGRAMA'!$I$5:$I$254))</x:f>
      </x:c>
      <x:c r="AD103" s="202" t="str">
        <x:f>IF(A103="","",IF(AC103=1,"OK 100%","CONFERIR"))</x:f>
      </x:c>
      <x:c r="AE103" s="142"/>
      <x:c r="AF103" s="142"/>
      <x:c r="AG103" s="142"/>
    </x:row>
    <x:row r="104" ht="19" customHeight="1">
      <x:c r="A104" s="142"/>
      <x:c r="B104" s="142"/>
      <x:c r="C104" s="142"/>
      <x:c r="D104" s="142"/>
      <x:c r="E104" s="142"/>
      <x:c r="F104" s="142"/>
      <x:c r="G104" s="142"/>
      <x:c r="H104" s="142"/>
      <x:c r="I104" s="142"/>
      <x:c r="J104" s="142"/>
      <x:c r="K104" s="142"/>
      <x:c r="L104" s="142"/>
      <x:c r="M104" s="208"/>
      <x:c r="N104" s="208"/>
      <x:c r="O104" s="142"/>
      <x:c r="P104" s="142"/>
      <x:c r="Q104" s="142"/>
      <x:c r="R104" s="142"/>
      <x:c r="S104" s="142"/>
      <x:c r="T104" s="142"/>
      <x:c r="U104" s="142"/>
      <x:c r="V104" s="220"/>
      <x:c r="W104" s="142"/>
      <x:c r="X104" s="208"/>
      <x:c r="Y104" s="208"/>
      <x:c r="Z104" s="142"/>
      <x:c r="AA104" s="142"/>
      <x:c r="AB104" s="202" t="str">
        <x:f>IF(A104="","",IF(AND(B104&lt;&gt;"",D104&lt;&gt;"",F104&lt;&gt;"",H104&lt;&gt;"",M104&lt;&gt;"",N104&lt;&gt;"",Q104&lt;&gt;"",R104&lt;&gt;"",U104&lt;&gt;"",V104&lt;&gt;"",W104&lt;&gt;""),"PRONTO","PENDENTE"))</x:f>
      </x:c>
      <x:c r="AC104" s="214" t="str">
        <x:f>IF(A104="","",SUMIF('PARTICIPAÇÕES FONOGRAMA'!$A$5:$A$254,A104,'PARTICIPAÇÕES FONOGRAMA'!$I$5:$I$254))</x:f>
      </x:c>
      <x:c r="AD104" s="202" t="str">
        <x:f>IF(A104="","",IF(AC104=1,"OK 100%","CONFERIR"))</x:f>
      </x:c>
      <x:c r="AE104" s="142"/>
      <x:c r="AF104" s="142"/>
      <x:c r="AG104" s="142"/>
    </x:row>
    <x:row r="105" ht="19" customHeight="1">
      <x:c r="A105" s="142"/>
      <x:c r="B105" s="142"/>
      <x:c r="C105" s="142"/>
      <x:c r="D105" s="142"/>
      <x:c r="E105" s="142"/>
      <x:c r="F105" s="142"/>
      <x:c r="G105" s="142"/>
      <x:c r="H105" s="142"/>
      <x:c r="I105" s="142"/>
      <x:c r="J105" s="142"/>
      <x:c r="K105" s="142"/>
      <x:c r="L105" s="142"/>
      <x:c r="M105" s="208"/>
      <x:c r="N105" s="208"/>
      <x:c r="O105" s="142"/>
      <x:c r="P105" s="142"/>
      <x:c r="Q105" s="142"/>
      <x:c r="R105" s="142"/>
      <x:c r="S105" s="142"/>
      <x:c r="T105" s="142"/>
      <x:c r="U105" s="142"/>
      <x:c r="V105" s="220"/>
      <x:c r="W105" s="142"/>
      <x:c r="X105" s="208"/>
      <x:c r="Y105" s="208"/>
      <x:c r="Z105" s="142"/>
      <x:c r="AA105" s="142"/>
      <x:c r="AB105" s="202" t="str">
        <x:f>IF(A105="","",IF(AND(B105&lt;&gt;"",D105&lt;&gt;"",F105&lt;&gt;"",H105&lt;&gt;"",M105&lt;&gt;"",N105&lt;&gt;"",Q105&lt;&gt;"",R105&lt;&gt;"",U105&lt;&gt;"",V105&lt;&gt;"",W105&lt;&gt;""),"PRONTO","PENDENTE"))</x:f>
      </x:c>
      <x:c r="AC105" s="214" t="str">
        <x:f>IF(A105="","",SUMIF('PARTICIPAÇÕES FONOGRAMA'!$A$5:$A$254,A105,'PARTICIPAÇÕES FONOGRAMA'!$I$5:$I$254))</x:f>
      </x:c>
      <x:c r="AD105" s="202" t="str">
        <x:f>IF(A105="","",IF(AC105=1,"OK 100%","CONFERIR"))</x:f>
      </x:c>
      <x:c r="AE105" s="142"/>
      <x:c r="AF105" s="142"/>
      <x:c r="AG105" s="142"/>
    </x:row>
    <x:row r="106" ht="19" customHeight="1">
      <x:c r="A106" s="142"/>
      <x:c r="B106" s="142"/>
      <x:c r="C106" s="142"/>
      <x:c r="D106" s="142"/>
      <x:c r="E106" s="142"/>
      <x:c r="F106" s="142"/>
      <x:c r="G106" s="142"/>
      <x:c r="H106" s="142"/>
      <x:c r="I106" s="142"/>
      <x:c r="J106" s="142"/>
      <x:c r="K106" s="142"/>
      <x:c r="L106" s="142"/>
      <x:c r="M106" s="208"/>
      <x:c r="N106" s="208"/>
      <x:c r="O106" s="142"/>
      <x:c r="P106" s="142"/>
      <x:c r="Q106" s="142"/>
      <x:c r="R106" s="142"/>
      <x:c r="S106" s="142"/>
      <x:c r="T106" s="142"/>
      <x:c r="U106" s="142"/>
      <x:c r="V106" s="220"/>
      <x:c r="W106" s="142"/>
      <x:c r="X106" s="208"/>
      <x:c r="Y106" s="208"/>
      <x:c r="Z106" s="142"/>
      <x:c r="AA106" s="142"/>
      <x:c r="AB106" s="202" t="str">
        <x:f>IF(A106="","",IF(AND(B106&lt;&gt;"",D106&lt;&gt;"",F106&lt;&gt;"",H106&lt;&gt;"",M106&lt;&gt;"",N106&lt;&gt;"",Q106&lt;&gt;"",R106&lt;&gt;"",U106&lt;&gt;"",V106&lt;&gt;"",W106&lt;&gt;""),"PRONTO","PENDENTE"))</x:f>
      </x:c>
      <x:c r="AC106" s="214" t="str">
        <x:f>IF(A106="","",SUMIF('PARTICIPAÇÕES FONOGRAMA'!$A$5:$A$254,A106,'PARTICIPAÇÕES FONOGRAMA'!$I$5:$I$254))</x:f>
      </x:c>
      <x:c r="AD106" s="202" t="str">
        <x:f>IF(A106="","",IF(AC106=1,"OK 100%","CONFERIR"))</x:f>
      </x:c>
      <x:c r="AE106" s="142"/>
      <x:c r="AF106" s="142"/>
      <x:c r="AG106" s="142"/>
    </x:row>
    <x:row r="107" ht="19" customHeight="1">
      <x:c r="A107" s="142"/>
      <x:c r="B107" s="142"/>
      <x:c r="C107" s="142"/>
      <x:c r="D107" s="142"/>
      <x:c r="E107" s="142"/>
      <x:c r="F107" s="142"/>
      <x:c r="G107" s="142"/>
      <x:c r="H107" s="142"/>
      <x:c r="I107" s="142"/>
      <x:c r="J107" s="142"/>
      <x:c r="K107" s="142"/>
      <x:c r="L107" s="142"/>
      <x:c r="M107" s="208"/>
      <x:c r="N107" s="208"/>
      <x:c r="O107" s="142"/>
      <x:c r="P107" s="142"/>
      <x:c r="Q107" s="142"/>
      <x:c r="R107" s="142"/>
      <x:c r="S107" s="142"/>
      <x:c r="T107" s="142"/>
      <x:c r="U107" s="142"/>
      <x:c r="V107" s="220"/>
      <x:c r="W107" s="142"/>
      <x:c r="X107" s="208"/>
      <x:c r="Y107" s="208"/>
      <x:c r="Z107" s="142"/>
      <x:c r="AA107" s="142"/>
      <x:c r="AB107" s="202" t="str">
        <x:f>IF(A107="","",IF(AND(B107&lt;&gt;"",D107&lt;&gt;"",F107&lt;&gt;"",H107&lt;&gt;"",M107&lt;&gt;"",N107&lt;&gt;"",Q107&lt;&gt;"",R107&lt;&gt;"",U107&lt;&gt;"",V107&lt;&gt;"",W107&lt;&gt;""),"PRONTO","PENDENTE"))</x:f>
      </x:c>
      <x:c r="AC107" s="214" t="str">
        <x:f>IF(A107="","",SUMIF('PARTICIPAÇÕES FONOGRAMA'!$A$5:$A$254,A107,'PARTICIPAÇÕES FONOGRAMA'!$I$5:$I$254))</x:f>
      </x:c>
      <x:c r="AD107" s="202" t="str">
        <x:f>IF(A107="","",IF(AC107=1,"OK 100%","CONFERIR"))</x:f>
      </x:c>
      <x:c r="AE107" s="142"/>
      <x:c r="AF107" s="142"/>
      <x:c r="AG107" s="142"/>
    </x:row>
    <x:row r="108" ht="19" customHeight="1">
      <x:c r="A108" s="142"/>
      <x:c r="B108" s="142"/>
      <x:c r="C108" s="142"/>
      <x:c r="D108" s="142"/>
      <x:c r="E108" s="142"/>
      <x:c r="F108" s="142"/>
      <x:c r="G108" s="142"/>
      <x:c r="H108" s="142"/>
      <x:c r="I108" s="142"/>
      <x:c r="J108" s="142"/>
      <x:c r="K108" s="142"/>
      <x:c r="L108" s="142"/>
      <x:c r="M108" s="208"/>
      <x:c r="N108" s="208"/>
      <x:c r="O108" s="142"/>
      <x:c r="P108" s="142"/>
      <x:c r="Q108" s="142"/>
      <x:c r="R108" s="142"/>
      <x:c r="S108" s="142"/>
      <x:c r="T108" s="142"/>
      <x:c r="U108" s="142"/>
      <x:c r="V108" s="220"/>
      <x:c r="W108" s="142"/>
      <x:c r="X108" s="208"/>
      <x:c r="Y108" s="208"/>
      <x:c r="Z108" s="142"/>
      <x:c r="AA108" s="142"/>
      <x:c r="AB108" s="202" t="str">
        <x:f>IF(A108="","",IF(AND(B108&lt;&gt;"",D108&lt;&gt;"",F108&lt;&gt;"",H108&lt;&gt;"",M108&lt;&gt;"",N108&lt;&gt;"",Q108&lt;&gt;"",R108&lt;&gt;"",U108&lt;&gt;"",V108&lt;&gt;"",W108&lt;&gt;""),"PRONTO","PENDENTE"))</x:f>
      </x:c>
      <x:c r="AC108" s="214" t="str">
        <x:f>IF(A108="","",SUMIF('PARTICIPAÇÕES FONOGRAMA'!$A$5:$A$254,A108,'PARTICIPAÇÕES FONOGRAMA'!$I$5:$I$254))</x:f>
      </x:c>
      <x:c r="AD108" s="202" t="str">
        <x:f>IF(A108="","",IF(AC108=1,"OK 100%","CONFERIR"))</x:f>
      </x:c>
      <x:c r="AE108" s="142"/>
      <x:c r="AF108" s="142"/>
      <x:c r="AG108" s="142"/>
    </x:row>
    <x:row r="109" ht="19" customHeight="1">
      <x:c r="A109" s="142"/>
      <x:c r="B109" s="142"/>
      <x:c r="C109" s="142"/>
      <x:c r="D109" s="142"/>
      <x:c r="E109" s="142"/>
      <x:c r="F109" s="142"/>
      <x:c r="G109" s="142"/>
      <x:c r="H109" s="142"/>
      <x:c r="I109" s="142"/>
      <x:c r="J109" s="142"/>
      <x:c r="K109" s="142"/>
      <x:c r="L109" s="142"/>
      <x:c r="M109" s="208"/>
      <x:c r="N109" s="208"/>
      <x:c r="O109" s="142"/>
      <x:c r="P109" s="142"/>
      <x:c r="Q109" s="142"/>
      <x:c r="R109" s="142"/>
      <x:c r="S109" s="142"/>
      <x:c r="T109" s="142"/>
      <x:c r="U109" s="142"/>
      <x:c r="V109" s="220"/>
      <x:c r="W109" s="142"/>
      <x:c r="X109" s="208"/>
      <x:c r="Y109" s="208"/>
      <x:c r="Z109" s="142"/>
      <x:c r="AA109" s="142"/>
      <x:c r="AB109" s="202" t="str">
        <x:f>IF(A109="","",IF(AND(B109&lt;&gt;"",D109&lt;&gt;"",F109&lt;&gt;"",H109&lt;&gt;"",M109&lt;&gt;"",N109&lt;&gt;"",Q109&lt;&gt;"",R109&lt;&gt;"",U109&lt;&gt;"",V109&lt;&gt;"",W109&lt;&gt;""),"PRONTO","PENDENTE"))</x:f>
      </x:c>
      <x:c r="AC109" s="214" t="str">
        <x:f>IF(A109="","",SUMIF('PARTICIPAÇÕES FONOGRAMA'!$A$5:$A$254,A109,'PARTICIPAÇÕES FONOGRAMA'!$I$5:$I$254))</x:f>
      </x:c>
      <x:c r="AD109" s="202" t="str">
        <x:f>IF(A109="","",IF(AC109=1,"OK 100%","CONFERIR"))</x:f>
      </x:c>
      <x:c r="AE109" s="142"/>
      <x:c r="AF109" s="142"/>
      <x:c r="AG109" s="142"/>
    </x:row>
    <x:row r="110" ht="19" customHeight="1">
      <x:c r="A110" s="142"/>
      <x:c r="B110" s="142"/>
      <x:c r="C110" s="142"/>
      <x:c r="D110" s="142"/>
      <x:c r="E110" s="142"/>
      <x:c r="F110" s="142"/>
      <x:c r="G110" s="142"/>
      <x:c r="H110" s="142"/>
      <x:c r="I110" s="142"/>
      <x:c r="J110" s="142"/>
      <x:c r="K110" s="142"/>
      <x:c r="L110" s="142"/>
      <x:c r="M110" s="208"/>
      <x:c r="N110" s="208"/>
      <x:c r="O110" s="142"/>
      <x:c r="P110" s="142"/>
      <x:c r="Q110" s="142"/>
      <x:c r="R110" s="142"/>
      <x:c r="S110" s="142"/>
      <x:c r="T110" s="142"/>
      <x:c r="U110" s="142"/>
      <x:c r="V110" s="220"/>
      <x:c r="W110" s="142"/>
      <x:c r="X110" s="208"/>
      <x:c r="Y110" s="208"/>
      <x:c r="Z110" s="142"/>
      <x:c r="AA110" s="142"/>
      <x:c r="AB110" s="202" t="str">
        <x:f>IF(A110="","",IF(AND(B110&lt;&gt;"",D110&lt;&gt;"",F110&lt;&gt;"",H110&lt;&gt;"",M110&lt;&gt;"",N110&lt;&gt;"",Q110&lt;&gt;"",R110&lt;&gt;"",U110&lt;&gt;"",V110&lt;&gt;"",W110&lt;&gt;""),"PRONTO","PENDENTE"))</x:f>
      </x:c>
      <x:c r="AC110" s="214" t="str">
        <x:f>IF(A110="","",SUMIF('PARTICIPAÇÕES FONOGRAMA'!$A$5:$A$254,A110,'PARTICIPAÇÕES FONOGRAMA'!$I$5:$I$254))</x:f>
      </x:c>
      <x:c r="AD110" s="202" t="str">
        <x:f>IF(A110="","",IF(AC110=1,"OK 100%","CONFERIR"))</x:f>
      </x:c>
      <x:c r="AE110" s="142"/>
      <x:c r="AF110" s="142"/>
      <x:c r="AG110" s="142"/>
    </x:row>
    <x:row r="111" ht="19" customHeight="1">
      <x:c r="A111" s="142"/>
      <x:c r="B111" s="142"/>
      <x:c r="C111" s="142"/>
      <x:c r="D111" s="142"/>
      <x:c r="E111" s="142"/>
      <x:c r="F111" s="142"/>
      <x:c r="G111" s="142"/>
      <x:c r="H111" s="142"/>
      <x:c r="I111" s="142"/>
      <x:c r="J111" s="142"/>
      <x:c r="K111" s="142"/>
      <x:c r="L111" s="142"/>
      <x:c r="M111" s="208"/>
      <x:c r="N111" s="208"/>
      <x:c r="O111" s="142"/>
      <x:c r="P111" s="142"/>
      <x:c r="Q111" s="142"/>
      <x:c r="R111" s="142"/>
      <x:c r="S111" s="142"/>
      <x:c r="T111" s="142"/>
      <x:c r="U111" s="142"/>
      <x:c r="V111" s="220"/>
      <x:c r="W111" s="142"/>
      <x:c r="X111" s="208"/>
      <x:c r="Y111" s="208"/>
      <x:c r="Z111" s="142"/>
      <x:c r="AA111" s="142"/>
      <x:c r="AB111" s="202" t="str">
        <x:f>IF(A111="","",IF(AND(B111&lt;&gt;"",D111&lt;&gt;"",F111&lt;&gt;"",H111&lt;&gt;"",M111&lt;&gt;"",N111&lt;&gt;"",Q111&lt;&gt;"",R111&lt;&gt;"",U111&lt;&gt;"",V111&lt;&gt;"",W111&lt;&gt;""),"PRONTO","PENDENTE"))</x:f>
      </x:c>
      <x:c r="AC111" s="214" t="str">
        <x:f>IF(A111="","",SUMIF('PARTICIPAÇÕES FONOGRAMA'!$A$5:$A$254,A111,'PARTICIPAÇÕES FONOGRAMA'!$I$5:$I$254))</x:f>
      </x:c>
      <x:c r="AD111" s="202" t="str">
        <x:f>IF(A111="","",IF(AC111=1,"OK 100%","CONFERIR"))</x:f>
      </x:c>
      <x:c r="AE111" s="142"/>
      <x:c r="AF111" s="142"/>
      <x:c r="AG111" s="142"/>
    </x:row>
    <x:row r="112" ht="19" customHeight="1">
      <x:c r="A112" s="142"/>
      <x:c r="B112" s="142"/>
      <x:c r="C112" s="142"/>
      <x:c r="D112" s="142"/>
      <x:c r="E112" s="142"/>
      <x:c r="F112" s="142"/>
      <x:c r="G112" s="142"/>
      <x:c r="H112" s="142"/>
      <x:c r="I112" s="142"/>
      <x:c r="J112" s="142"/>
      <x:c r="K112" s="142"/>
      <x:c r="L112" s="142"/>
      <x:c r="M112" s="208"/>
      <x:c r="N112" s="208"/>
      <x:c r="O112" s="142"/>
      <x:c r="P112" s="142"/>
      <x:c r="Q112" s="142"/>
      <x:c r="R112" s="142"/>
      <x:c r="S112" s="142"/>
      <x:c r="T112" s="142"/>
      <x:c r="U112" s="142"/>
      <x:c r="V112" s="220"/>
      <x:c r="W112" s="142"/>
      <x:c r="X112" s="208"/>
      <x:c r="Y112" s="208"/>
      <x:c r="Z112" s="142"/>
      <x:c r="AA112" s="142"/>
      <x:c r="AB112" s="202" t="str">
        <x:f>IF(A112="","",IF(AND(B112&lt;&gt;"",D112&lt;&gt;"",F112&lt;&gt;"",H112&lt;&gt;"",M112&lt;&gt;"",N112&lt;&gt;"",Q112&lt;&gt;"",R112&lt;&gt;"",U112&lt;&gt;"",V112&lt;&gt;"",W112&lt;&gt;""),"PRONTO","PENDENTE"))</x:f>
      </x:c>
      <x:c r="AC112" s="214" t="str">
        <x:f>IF(A112="","",SUMIF('PARTICIPAÇÕES FONOGRAMA'!$A$5:$A$254,A112,'PARTICIPAÇÕES FONOGRAMA'!$I$5:$I$254))</x:f>
      </x:c>
      <x:c r="AD112" s="202" t="str">
        <x:f>IF(A112="","",IF(AC112=1,"OK 100%","CONFERIR"))</x:f>
      </x:c>
      <x:c r="AE112" s="142"/>
      <x:c r="AF112" s="142"/>
      <x:c r="AG112" s="142"/>
    </x:row>
    <x:row r="113" ht="19" customHeight="1">
      <x:c r="A113" s="142"/>
      <x:c r="B113" s="142"/>
      <x:c r="C113" s="142"/>
      <x:c r="D113" s="142"/>
      <x:c r="E113" s="142"/>
      <x:c r="F113" s="142"/>
      <x:c r="G113" s="142"/>
      <x:c r="H113" s="142"/>
      <x:c r="I113" s="142"/>
      <x:c r="J113" s="142"/>
      <x:c r="K113" s="142"/>
      <x:c r="L113" s="142"/>
      <x:c r="M113" s="208"/>
      <x:c r="N113" s="208"/>
      <x:c r="O113" s="142"/>
      <x:c r="P113" s="142"/>
      <x:c r="Q113" s="142"/>
      <x:c r="R113" s="142"/>
      <x:c r="S113" s="142"/>
      <x:c r="T113" s="142"/>
      <x:c r="U113" s="142"/>
      <x:c r="V113" s="220"/>
      <x:c r="W113" s="142"/>
      <x:c r="X113" s="208"/>
      <x:c r="Y113" s="208"/>
      <x:c r="Z113" s="142"/>
      <x:c r="AA113" s="142"/>
      <x:c r="AB113" s="202" t="str">
        <x:f>IF(A113="","",IF(AND(B113&lt;&gt;"",D113&lt;&gt;"",F113&lt;&gt;"",H113&lt;&gt;"",M113&lt;&gt;"",N113&lt;&gt;"",Q113&lt;&gt;"",R113&lt;&gt;"",U113&lt;&gt;"",V113&lt;&gt;"",W113&lt;&gt;""),"PRONTO","PENDENTE"))</x:f>
      </x:c>
      <x:c r="AC113" s="214" t="str">
        <x:f>IF(A113="","",SUMIF('PARTICIPAÇÕES FONOGRAMA'!$A$5:$A$254,A113,'PARTICIPAÇÕES FONOGRAMA'!$I$5:$I$254))</x:f>
      </x:c>
      <x:c r="AD113" s="202" t="str">
        <x:f>IF(A113="","",IF(AC113=1,"OK 100%","CONFERIR"))</x:f>
      </x:c>
      <x:c r="AE113" s="142"/>
      <x:c r="AF113" s="142"/>
      <x:c r="AG113" s="142"/>
    </x:row>
    <x:row r="114" ht="19" customHeight="1">
      <x:c r="A114" s="142"/>
      <x:c r="B114" s="142"/>
      <x:c r="C114" s="142"/>
      <x:c r="D114" s="142"/>
      <x:c r="E114" s="142"/>
      <x:c r="F114" s="142"/>
      <x:c r="G114" s="142"/>
      <x:c r="H114" s="142"/>
      <x:c r="I114" s="142"/>
      <x:c r="J114" s="142"/>
      <x:c r="K114" s="142"/>
      <x:c r="L114" s="142"/>
      <x:c r="M114" s="208"/>
      <x:c r="N114" s="208"/>
      <x:c r="O114" s="142"/>
      <x:c r="P114" s="142"/>
      <x:c r="Q114" s="142"/>
      <x:c r="R114" s="142"/>
      <x:c r="S114" s="142"/>
      <x:c r="T114" s="142"/>
      <x:c r="U114" s="142"/>
      <x:c r="V114" s="220"/>
      <x:c r="W114" s="142"/>
      <x:c r="X114" s="208"/>
      <x:c r="Y114" s="208"/>
      <x:c r="Z114" s="142"/>
      <x:c r="AA114" s="142"/>
      <x:c r="AB114" s="202" t="str">
        <x:f>IF(A114="","",IF(AND(B114&lt;&gt;"",D114&lt;&gt;"",F114&lt;&gt;"",H114&lt;&gt;"",M114&lt;&gt;"",N114&lt;&gt;"",Q114&lt;&gt;"",R114&lt;&gt;"",U114&lt;&gt;"",V114&lt;&gt;"",W114&lt;&gt;""),"PRONTO","PENDENTE"))</x:f>
      </x:c>
      <x:c r="AC114" s="214" t="str">
        <x:f>IF(A114="","",SUMIF('PARTICIPAÇÕES FONOGRAMA'!$A$5:$A$254,A114,'PARTICIPAÇÕES FONOGRAMA'!$I$5:$I$254))</x:f>
      </x:c>
      <x:c r="AD114" s="202" t="str">
        <x:f>IF(A114="","",IF(AC114=1,"OK 100%","CONFERIR"))</x:f>
      </x:c>
      <x:c r="AE114" s="142"/>
      <x:c r="AF114" s="142"/>
      <x:c r="AG114" s="142"/>
    </x:row>
    <x:row r="115" ht="19" customHeight="1">
      <x:c r="A115" s="142"/>
      <x:c r="B115" s="142"/>
      <x:c r="C115" s="142"/>
      <x:c r="D115" s="142"/>
      <x:c r="E115" s="142"/>
      <x:c r="F115" s="142"/>
      <x:c r="G115" s="142"/>
      <x:c r="H115" s="142"/>
      <x:c r="I115" s="142"/>
      <x:c r="J115" s="142"/>
      <x:c r="K115" s="142"/>
      <x:c r="L115" s="142"/>
      <x:c r="M115" s="208"/>
      <x:c r="N115" s="208"/>
      <x:c r="O115" s="142"/>
      <x:c r="P115" s="142"/>
      <x:c r="Q115" s="142"/>
      <x:c r="R115" s="142"/>
      <x:c r="S115" s="142"/>
      <x:c r="T115" s="142"/>
      <x:c r="U115" s="142"/>
      <x:c r="V115" s="220"/>
      <x:c r="W115" s="142"/>
      <x:c r="X115" s="208"/>
      <x:c r="Y115" s="208"/>
      <x:c r="Z115" s="142"/>
      <x:c r="AA115" s="142"/>
      <x:c r="AB115" s="202" t="str">
        <x:f>IF(A115="","",IF(AND(B115&lt;&gt;"",D115&lt;&gt;"",F115&lt;&gt;"",H115&lt;&gt;"",M115&lt;&gt;"",N115&lt;&gt;"",Q115&lt;&gt;"",R115&lt;&gt;"",U115&lt;&gt;"",V115&lt;&gt;"",W115&lt;&gt;""),"PRONTO","PENDENTE"))</x:f>
      </x:c>
      <x:c r="AC115" s="214" t="str">
        <x:f>IF(A115="","",SUMIF('PARTICIPAÇÕES FONOGRAMA'!$A$5:$A$254,A115,'PARTICIPAÇÕES FONOGRAMA'!$I$5:$I$254))</x:f>
      </x:c>
      <x:c r="AD115" s="202" t="str">
        <x:f>IF(A115="","",IF(AC115=1,"OK 100%","CONFERIR"))</x:f>
      </x:c>
      <x:c r="AE115" s="142"/>
      <x:c r="AF115" s="142"/>
      <x:c r="AG115" s="142"/>
    </x:row>
    <x:row r="116" ht="19" customHeight="1">
      <x:c r="A116" s="142"/>
      <x:c r="B116" s="142"/>
      <x:c r="C116" s="142"/>
      <x:c r="D116" s="142"/>
      <x:c r="E116" s="142"/>
      <x:c r="F116" s="142"/>
      <x:c r="G116" s="142"/>
      <x:c r="H116" s="142"/>
      <x:c r="I116" s="142"/>
      <x:c r="J116" s="142"/>
      <x:c r="K116" s="142"/>
      <x:c r="L116" s="142"/>
      <x:c r="M116" s="208"/>
      <x:c r="N116" s="208"/>
      <x:c r="O116" s="142"/>
      <x:c r="P116" s="142"/>
      <x:c r="Q116" s="142"/>
      <x:c r="R116" s="142"/>
      <x:c r="S116" s="142"/>
      <x:c r="T116" s="142"/>
      <x:c r="U116" s="142"/>
      <x:c r="V116" s="220"/>
      <x:c r="W116" s="142"/>
      <x:c r="X116" s="208"/>
      <x:c r="Y116" s="208"/>
      <x:c r="Z116" s="142"/>
      <x:c r="AA116" s="142"/>
      <x:c r="AB116" s="202" t="str">
        <x:f>IF(A116="","",IF(AND(B116&lt;&gt;"",D116&lt;&gt;"",F116&lt;&gt;"",H116&lt;&gt;"",M116&lt;&gt;"",N116&lt;&gt;"",Q116&lt;&gt;"",R116&lt;&gt;"",U116&lt;&gt;"",V116&lt;&gt;"",W116&lt;&gt;""),"PRONTO","PENDENTE"))</x:f>
      </x:c>
      <x:c r="AC116" s="214" t="str">
        <x:f>IF(A116="","",SUMIF('PARTICIPAÇÕES FONOGRAMA'!$A$5:$A$254,A116,'PARTICIPAÇÕES FONOGRAMA'!$I$5:$I$254))</x:f>
      </x:c>
      <x:c r="AD116" s="202" t="str">
        <x:f>IF(A116="","",IF(AC116=1,"OK 100%","CONFERIR"))</x:f>
      </x:c>
      <x:c r="AE116" s="142"/>
      <x:c r="AF116" s="142"/>
      <x:c r="AG116" s="142"/>
    </x:row>
    <x:row r="117" ht="19" customHeight="1">
      <x:c r="A117" s="142"/>
      <x:c r="B117" s="142"/>
      <x:c r="C117" s="142"/>
      <x:c r="D117" s="142"/>
      <x:c r="E117" s="142"/>
      <x:c r="F117" s="142"/>
      <x:c r="G117" s="142"/>
      <x:c r="H117" s="142"/>
      <x:c r="I117" s="142"/>
      <x:c r="J117" s="142"/>
      <x:c r="K117" s="142"/>
      <x:c r="L117" s="142"/>
      <x:c r="M117" s="208"/>
      <x:c r="N117" s="208"/>
      <x:c r="O117" s="142"/>
      <x:c r="P117" s="142"/>
      <x:c r="Q117" s="142"/>
      <x:c r="R117" s="142"/>
      <x:c r="S117" s="142"/>
      <x:c r="T117" s="142"/>
      <x:c r="U117" s="142"/>
      <x:c r="V117" s="220"/>
      <x:c r="W117" s="142"/>
      <x:c r="X117" s="208"/>
      <x:c r="Y117" s="208"/>
      <x:c r="Z117" s="142"/>
      <x:c r="AA117" s="142"/>
      <x:c r="AB117" s="202" t="str">
        <x:f>IF(A117="","",IF(AND(B117&lt;&gt;"",D117&lt;&gt;"",F117&lt;&gt;"",H117&lt;&gt;"",M117&lt;&gt;"",N117&lt;&gt;"",Q117&lt;&gt;"",R117&lt;&gt;"",U117&lt;&gt;"",V117&lt;&gt;"",W117&lt;&gt;""),"PRONTO","PENDENTE"))</x:f>
      </x:c>
      <x:c r="AC117" s="214" t="str">
        <x:f>IF(A117="","",SUMIF('PARTICIPAÇÕES FONOGRAMA'!$A$5:$A$254,A117,'PARTICIPAÇÕES FONOGRAMA'!$I$5:$I$254))</x:f>
      </x:c>
      <x:c r="AD117" s="202" t="str">
        <x:f>IF(A117="","",IF(AC117=1,"OK 100%","CONFERIR"))</x:f>
      </x:c>
      <x:c r="AE117" s="142"/>
      <x:c r="AF117" s="142"/>
      <x:c r="AG117" s="142"/>
    </x:row>
    <x:row r="118" ht="19" customHeight="1">
      <x:c r="A118" s="142"/>
      <x:c r="B118" s="142"/>
      <x:c r="C118" s="142"/>
      <x:c r="D118" s="142"/>
      <x:c r="E118" s="142"/>
      <x:c r="F118" s="142"/>
      <x:c r="G118" s="142"/>
      <x:c r="H118" s="142"/>
      <x:c r="I118" s="142"/>
      <x:c r="J118" s="142"/>
      <x:c r="K118" s="142"/>
      <x:c r="L118" s="142"/>
      <x:c r="M118" s="208"/>
      <x:c r="N118" s="208"/>
      <x:c r="O118" s="142"/>
      <x:c r="P118" s="142"/>
      <x:c r="Q118" s="142"/>
      <x:c r="R118" s="142"/>
      <x:c r="S118" s="142"/>
      <x:c r="T118" s="142"/>
      <x:c r="U118" s="142"/>
      <x:c r="V118" s="220"/>
      <x:c r="W118" s="142"/>
      <x:c r="X118" s="208"/>
      <x:c r="Y118" s="208"/>
      <x:c r="Z118" s="142"/>
      <x:c r="AA118" s="142"/>
      <x:c r="AB118" s="202" t="str">
        <x:f>IF(A118="","",IF(AND(B118&lt;&gt;"",D118&lt;&gt;"",F118&lt;&gt;"",H118&lt;&gt;"",M118&lt;&gt;"",N118&lt;&gt;"",Q118&lt;&gt;"",R118&lt;&gt;"",U118&lt;&gt;"",V118&lt;&gt;"",W118&lt;&gt;""),"PRONTO","PENDENTE"))</x:f>
      </x:c>
      <x:c r="AC118" s="214" t="str">
        <x:f>IF(A118="","",SUMIF('PARTICIPAÇÕES FONOGRAMA'!$A$5:$A$254,A118,'PARTICIPAÇÕES FONOGRAMA'!$I$5:$I$254))</x:f>
      </x:c>
      <x:c r="AD118" s="202" t="str">
        <x:f>IF(A118="","",IF(AC118=1,"OK 100%","CONFERIR"))</x:f>
      </x:c>
      <x:c r="AE118" s="142"/>
      <x:c r="AF118" s="142"/>
      <x:c r="AG118" s="142"/>
    </x:row>
    <x:row r="119" ht="19" customHeight="1">
      <x:c r="A119" s="142"/>
      <x:c r="B119" s="142"/>
      <x:c r="C119" s="142"/>
      <x:c r="D119" s="142"/>
      <x:c r="E119" s="142"/>
      <x:c r="F119" s="142"/>
      <x:c r="G119" s="142"/>
      <x:c r="H119" s="142"/>
      <x:c r="I119" s="142"/>
      <x:c r="J119" s="142"/>
      <x:c r="K119" s="142"/>
      <x:c r="L119" s="142"/>
      <x:c r="M119" s="208"/>
      <x:c r="N119" s="208"/>
      <x:c r="O119" s="142"/>
      <x:c r="P119" s="142"/>
      <x:c r="Q119" s="142"/>
      <x:c r="R119" s="142"/>
      <x:c r="S119" s="142"/>
      <x:c r="T119" s="142"/>
      <x:c r="U119" s="142"/>
      <x:c r="V119" s="220"/>
      <x:c r="W119" s="142"/>
      <x:c r="X119" s="208"/>
      <x:c r="Y119" s="208"/>
      <x:c r="Z119" s="142"/>
      <x:c r="AA119" s="142"/>
      <x:c r="AB119" s="202" t="str">
        <x:f>IF(A119="","",IF(AND(B119&lt;&gt;"",D119&lt;&gt;"",F119&lt;&gt;"",H119&lt;&gt;"",M119&lt;&gt;"",N119&lt;&gt;"",Q119&lt;&gt;"",R119&lt;&gt;"",U119&lt;&gt;"",V119&lt;&gt;"",W119&lt;&gt;""),"PRONTO","PENDENTE"))</x:f>
      </x:c>
      <x:c r="AC119" s="214" t="str">
        <x:f>IF(A119="","",SUMIF('PARTICIPAÇÕES FONOGRAMA'!$A$5:$A$254,A119,'PARTICIPAÇÕES FONOGRAMA'!$I$5:$I$254))</x:f>
      </x:c>
      <x:c r="AD119" s="202" t="str">
        <x:f>IF(A119="","",IF(AC119=1,"OK 100%","CONFERIR"))</x:f>
      </x:c>
      <x:c r="AE119" s="142"/>
      <x:c r="AF119" s="142"/>
      <x:c r="AG119" s="142"/>
    </x:row>
    <x:row r="120" ht="19" customHeight="1">
      <x:c r="A120" s="142"/>
      <x:c r="B120" s="142"/>
      <x:c r="C120" s="142"/>
      <x:c r="D120" s="142"/>
      <x:c r="E120" s="142"/>
      <x:c r="F120" s="142"/>
      <x:c r="G120" s="142"/>
      <x:c r="H120" s="142"/>
      <x:c r="I120" s="142"/>
      <x:c r="J120" s="142"/>
      <x:c r="K120" s="142"/>
      <x:c r="L120" s="142"/>
      <x:c r="M120" s="208"/>
      <x:c r="N120" s="208"/>
      <x:c r="O120" s="142"/>
      <x:c r="P120" s="142"/>
      <x:c r="Q120" s="142"/>
      <x:c r="R120" s="142"/>
      <x:c r="S120" s="142"/>
      <x:c r="T120" s="142"/>
      <x:c r="U120" s="142"/>
      <x:c r="V120" s="220"/>
      <x:c r="W120" s="142"/>
      <x:c r="X120" s="208"/>
      <x:c r="Y120" s="208"/>
      <x:c r="Z120" s="142"/>
      <x:c r="AA120" s="142"/>
      <x:c r="AB120" s="202" t="str">
        <x:f>IF(A120="","",IF(AND(B120&lt;&gt;"",D120&lt;&gt;"",F120&lt;&gt;"",H120&lt;&gt;"",M120&lt;&gt;"",N120&lt;&gt;"",Q120&lt;&gt;"",R120&lt;&gt;"",U120&lt;&gt;"",V120&lt;&gt;"",W120&lt;&gt;""),"PRONTO","PENDENTE"))</x:f>
      </x:c>
      <x:c r="AC120" s="214" t="str">
        <x:f>IF(A120="","",SUMIF('PARTICIPAÇÕES FONOGRAMA'!$A$5:$A$254,A120,'PARTICIPAÇÕES FONOGRAMA'!$I$5:$I$254))</x:f>
      </x:c>
      <x:c r="AD120" s="202" t="str">
        <x:f>IF(A120="","",IF(AC120=1,"OK 100%","CONFERIR"))</x:f>
      </x:c>
      <x:c r="AE120" s="142"/>
      <x:c r="AF120" s="142"/>
      <x:c r="AG120" s="142"/>
    </x:row>
    <x:row r="121" ht="19" customHeight="1">
      <x:c r="A121" s="142"/>
      <x:c r="B121" s="142"/>
      <x:c r="C121" s="142"/>
      <x:c r="D121" s="142"/>
      <x:c r="E121" s="142"/>
      <x:c r="F121" s="142"/>
      <x:c r="G121" s="142"/>
      <x:c r="H121" s="142"/>
      <x:c r="I121" s="142"/>
      <x:c r="J121" s="142"/>
      <x:c r="K121" s="142"/>
      <x:c r="L121" s="142"/>
      <x:c r="M121" s="208"/>
      <x:c r="N121" s="208"/>
      <x:c r="O121" s="142"/>
      <x:c r="P121" s="142"/>
      <x:c r="Q121" s="142"/>
      <x:c r="R121" s="142"/>
      <x:c r="S121" s="142"/>
      <x:c r="T121" s="142"/>
      <x:c r="U121" s="142"/>
      <x:c r="V121" s="220"/>
      <x:c r="W121" s="142"/>
      <x:c r="X121" s="208"/>
      <x:c r="Y121" s="208"/>
      <x:c r="Z121" s="142"/>
      <x:c r="AA121" s="142"/>
      <x:c r="AB121" s="202" t="str">
        <x:f>IF(A121="","",IF(AND(B121&lt;&gt;"",D121&lt;&gt;"",F121&lt;&gt;"",H121&lt;&gt;"",M121&lt;&gt;"",N121&lt;&gt;"",Q121&lt;&gt;"",R121&lt;&gt;"",U121&lt;&gt;"",V121&lt;&gt;"",W121&lt;&gt;""),"PRONTO","PENDENTE"))</x:f>
      </x:c>
      <x:c r="AC121" s="214" t="str">
        <x:f>IF(A121="","",SUMIF('PARTICIPAÇÕES FONOGRAMA'!$A$5:$A$254,A121,'PARTICIPAÇÕES FONOGRAMA'!$I$5:$I$254))</x:f>
      </x:c>
      <x:c r="AD121" s="202" t="str">
        <x:f>IF(A121="","",IF(AC121=1,"OK 100%","CONFERIR"))</x:f>
      </x:c>
      <x:c r="AE121" s="142"/>
      <x:c r="AF121" s="142"/>
      <x:c r="AG121" s="142"/>
    </x:row>
    <x:row r="122" ht="19" customHeight="1">
      <x:c r="A122" s="142"/>
      <x:c r="B122" s="142"/>
      <x:c r="C122" s="142"/>
      <x:c r="D122" s="142"/>
      <x:c r="E122" s="142"/>
      <x:c r="F122" s="142"/>
      <x:c r="G122" s="142"/>
      <x:c r="H122" s="142"/>
      <x:c r="I122" s="142"/>
      <x:c r="J122" s="142"/>
      <x:c r="K122" s="142"/>
      <x:c r="L122" s="142"/>
      <x:c r="M122" s="208"/>
      <x:c r="N122" s="208"/>
      <x:c r="O122" s="142"/>
      <x:c r="P122" s="142"/>
      <x:c r="Q122" s="142"/>
      <x:c r="R122" s="142"/>
      <x:c r="S122" s="142"/>
      <x:c r="T122" s="142"/>
      <x:c r="U122" s="142"/>
      <x:c r="V122" s="220"/>
      <x:c r="W122" s="142"/>
      <x:c r="X122" s="208"/>
      <x:c r="Y122" s="208"/>
      <x:c r="Z122" s="142"/>
      <x:c r="AA122" s="142"/>
      <x:c r="AB122" s="202" t="str">
        <x:f>IF(A122="","",IF(AND(B122&lt;&gt;"",D122&lt;&gt;"",F122&lt;&gt;"",H122&lt;&gt;"",M122&lt;&gt;"",N122&lt;&gt;"",Q122&lt;&gt;"",R122&lt;&gt;"",U122&lt;&gt;"",V122&lt;&gt;"",W122&lt;&gt;""),"PRONTO","PENDENTE"))</x:f>
      </x:c>
      <x:c r="AC122" s="214" t="str">
        <x:f>IF(A122="","",SUMIF('PARTICIPAÇÕES FONOGRAMA'!$A$5:$A$254,A122,'PARTICIPAÇÕES FONOGRAMA'!$I$5:$I$254))</x:f>
      </x:c>
      <x:c r="AD122" s="202" t="str">
        <x:f>IF(A122="","",IF(AC122=1,"OK 100%","CONFERIR"))</x:f>
      </x:c>
      <x:c r="AE122" s="142"/>
      <x:c r="AF122" s="142"/>
      <x:c r="AG122" s="142"/>
    </x:row>
    <x:row r="123" ht="19" customHeight="1">
      <x:c r="A123" s="142"/>
      <x:c r="B123" s="142"/>
      <x:c r="C123" s="142"/>
      <x:c r="D123" s="142"/>
      <x:c r="E123" s="142"/>
      <x:c r="F123" s="142"/>
      <x:c r="G123" s="142"/>
      <x:c r="H123" s="142"/>
      <x:c r="I123" s="142"/>
      <x:c r="J123" s="142"/>
      <x:c r="K123" s="142"/>
      <x:c r="L123" s="142"/>
      <x:c r="M123" s="208"/>
      <x:c r="N123" s="208"/>
      <x:c r="O123" s="142"/>
      <x:c r="P123" s="142"/>
      <x:c r="Q123" s="142"/>
      <x:c r="R123" s="142"/>
      <x:c r="S123" s="142"/>
      <x:c r="T123" s="142"/>
      <x:c r="U123" s="142"/>
      <x:c r="V123" s="220"/>
      <x:c r="W123" s="142"/>
      <x:c r="X123" s="208"/>
      <x:c r="Y123" s="208"/>
      <x:c r="Z123" s="142"/>
      <x:c r="AA123" s="142"/>
      <x:c r="AB123" s="202" t="str">
        <x:f>IF(A123="","",IF(AND(B123&lt;&gt;"",D123&lt;&gt;"",F123&lt;&gt;"",H123&lt;&gt;"",M123&lt;&gt;"",N123&lt;&gt;"",Q123&lt;&gt;"",R123&lt;&gt;"",U123&lt;&gt;"",V123&lt;&gt;"",W123&lt;&gt;""),"PRONTO","PENDENTE"))</x:f>
      </x:c>
      <x:c r="AC123" s="214" t="str">
        <x:f>IF(A123="","",SUMIF('PARTICIPAÇÕES FONOGRAMA'!$A$5:$A$254,A123,'PARTICIPAÇÕES FONOGRAMA'!$I$5:$I$254))</x:f>
      </x:c>
      <x:c r="AD123" s="202" t="str">
        <x:f>IF(A123="","",IF(AC123=1,"OK 100%","CONFERIR"))</x:f>
      </x:c>
      <x:c r="AE123" s="142"/>
      <x:c r="AF123" s="142"/>
      <x:c r="AG123" s="142"/>
    </x:row>
    <x:row r="124" ht="19" customHeight="1">
      <x:c r="A124" s="142"/>
      <x:c r="B124" s="142"/>
      <x:c r="C124" s="142"/>
      <x:c r="D124" s="142"/>
      <x:c r="E124" s="142"/>
      <x:c r="F124" s="142"/>
      <x:c r="G124" s="142"/>
      <x:c r="H124" s="142"/>
      <x:c r="I124" s="142"/>
      <x:c r="J124" s="142"/>
      <x:c r="K124" s="142"/>
      <x:c r="L124" s="142"/>
      <x:c r="M124" s="208"/>
      <x:c r="N124" s="208"/>
      <x:c r="O124" s="142"/>
      <x:c r="P124" s="142"/>
      <x:c r="Q124" s="142"/>
      <x:c r="R124" s="142"/>
      <x:c r="S124" s="142"/>
      <x:c r="T124" s="142"/>
      <x:c r="U124" s="142"/>
      <x:c r="V124" s="220"/>
      <x:c r="W124" s="142"/>
      <x:c r="X124" s="208"/>
      <x:c r="Y124" s="208"/>
      <x:c r="Z124" s="142"/>
      <x:c r="AA124" s="142"/>
      <x:c r="AB124" s="202" t="str">
        <x:f>IF(A124="","",IF(AND(B124&lt;&gt;"",D124&lt;&gt;"",F124&lt;&gt;"",H124&lt;&gt;"",M124&lt;&gt;"",N124&lt;&gt;"",Q124&lt;&gt;"",R124&lt;&gt;"",U124&lt;&gt;"",V124&lt;&gt;"",W124&lt;&gt;""),"PRONTO","PENDENTE"))</x:f>
      </x:c>
      <x:c r="AC124" s="214" t="str">
        <x:f>IF(A124="","",SUMIF('PARTICIPAÇÕES FONOGRAMA'!$A$5:$A$254,A124,'PARTICIPAÇÕES FONOGRAMA'!$I$5:$I$254))</x:f>
      </x:c>
      <x:c r="AD124" s="202" t="str">
        <x:f>IF(A124="","",IF(AC124=1,"OK 100%","CONFERIR"))</x:f>
      </x:c>
      <x:c r="AE124" s="142"/>
      <x:c r="AF124" s="142"/>
      <x:c r="AG124" s="142"/>
    </x:row>
    <x:row r="125" ht="19" customHeight="1">
      <x:c r="A125" s="142"/>
      <x:c r="B125" s="142"/>
      <x:c r="C125" s="142"/>
      <x:c r="D125" s="142"/>
      <x:c r="E125" s="142"/>
      <x:c r="F125" s="142"/>
      <x:c r="G125" s="142"/>
      <x:c r="H125" s="142"/>
      <x:c r="I125" s="142"/>
      <x:c r="J125" s="142"/>
      <x:c r="K125" s="142"/>
      <x:c r="L125" s="142"/>
      <x:c r="M125" s="208"/>
      <x:c r="N125" s="208"/>
      <x:c r="O125" s="142"/>
      <x:c r="P125" s="142"/>
      <x:c r="Q125" s="142"/>
      <x:c r="R125" s="142"/>
      <x:c r="S125" s="142"/>
      <x:c r="T125" s="142"/>
      <x:c r="U125" s="142"/>
      <x:c r="V125" s="220"/>
      <x:c r="W125" s="142"/>
      <x:c r="X125" s="208"/>
      <x:c r="Y125" s="208"/>
      <x:c r="Z125" s="142"/>
      <x:c r="AA125" s="142"/>
      <x:c r="AB125" s="202" t="str">
        <x:f>IF(A125="","",IF(AND(B125&lt;&gt;"",D125&lt;&gt;"",F125&lt;&gt;"",H125&lt;&gt;"",M125&lt;&gt;"",N125&lt;&gt;"",Q125&lt;&gt;"",R125&lt;&gt;"",U125&lt;&gt;"",V125&lt;&gt;"",W125&lt;&gt;""),"PRONTO","PENDENTE"))</x:f>
      </x:c>
      <x:c r="AC125" s="214" t="str">
        <x:f>IF(A125="","",SUMIF('PARTICIPAÇÕES FONOGRAMA'!$A$5:$A$254,A125,'PARTICIPAÇÕES FONOGRAMA'!$I$5:$I$254))</x:f>
      </x:c>
      <x:c r="AD125" s="202" t="str">
        <x:f>IF(A125="","",IF(AC125=1,"OK 100%","CONFERIR"))</x:f>
      </x:c>
      <x:c r="AE125" s="142"/>
      <x:c r="AF125" s="142"/>
      <x:c r="AG125" s="142"/>
    </x:row>
    <x:row r="126" ht="19" customHeight="1">
      <x:c r="A126" s="142"/>
      <x:c r="B126" s="142"/>
      <x:c r="C126" s="142"/>
      <x:c r="D126" s="142"/>
      <x:c r="E126" s="142"/>
      <x:c r="F126" s="142"/>
      <x:c r="G126" s="142"/>
      <x:c r="H126" s="142"/>
      <x:c r="I126" s="142"/>
      <x:c r="J126" s="142"/>
      <x:c r="K126" s="142"/>
      <x:c r="L126" s="142"/>
      <x:c r="M126" s="208"/>
      <x:c r="N126" s="208"/>
      <x:c r="O126" s="142"/>
      <x:c r="P126" s="142"/>
      <x:c r="Q126" s="142"/>
      <x:c r="R126" s="142"/>
      <x:c r="S126" s="142"/>
      <x:c r="T126" s="142"/>
      <x:c r="U126" s="142"/>
      <x:c r="V126" s="220"/>
      <x:c r="W126" s="142"/>
      <x:c r="X126" s="208"/>
      <x:c r="Y126" s="208"/>
      <x:c r="Z126" s="142"/>
      <x:c r="AA126" s="142"/>
      <x:c r="AB126" s="202" t="str">
        <x:f>IF(A126="","",IF(AND(B126&lt;&gt;"",D126&lt;&gt;"",F126&lt;&gt;"",H126&lt;&gt;"",M126&lt;&gt;"",N126&lt;&gt;"",Q126&lt;&gt;"",R126&lt;&gt;"",U126&lt;&gt;"",V126&lt;&gt;"",W126&lt;&gt;""),"PRONTO","PENDENTE"))</x:f>
      </x:c>
      <x:c r="AC126" s="214" t="str">
        <x:f>IF(A126="","",SUMIF('PARTICIPAÇÕES FONOGRAMA'!$A$5:$A$254,A126,'PARTICIPAÇÕES FONOGRAMA'!$I$5:$I$254))</x:f>
      </x:c>
      <x:c r="AD126" s="202" t="str">
        <x:f>IF(A126="","",IF(AC126=1,"OK 100%","CONFERIR"))</x:f>
      </x:c>
      <x:c r="AE126" s="142"/>
      <x:c r="AF126" s="142"/>
      <x:c r="AG126" s="142"/>
    </x:row>
    <x:row r="127" ht="19" customHeight="1">
      <x:c r="A127" s="142"/>
      <x:c r="B127" s="142"/>
      <x:c r="C127" s="142"/>
      <x:c r="D127" s="142"/>
      <x:c r="E127" s="142"/>
      <x:c r="F127" s="142"/>
      <x:c r="G127" s="142"/>
      <x:c r="H127" s="142"/>
      <x:c r="I127" s="142"/>
      <x:c r="J127" s="142"/>
      <x:c r="K127" s="142"/>
      <x:c r="L127" s="142"/>
      <x:c r="M127" s="208"/>
      <x:c r="N127" s="208"/>
      <x:c r="O127" s="142"/>
      <x:c r="P127" s="142"/>
      <x:c r="Q127" s="142"/>
      <x:c r="R127" s="142"/>
      <x:c r="S127" s="142"/>
      <x:c r="T127" s="142"/>
      <x:c r="U127" s="142"/>
      <x:c r="V127" s="220"/>
      <x:c r="W127" s="142"/>
      <x:c r="X127" s="208"/>
      <x:c r="Y127" s="208"/>
      <x:c r="Z127" s="142"/>
      <x:c r="AA127" s="142"/>
      <x:c r="AB127" s="202" t="str">
        <x:f>IF(A127="","",IF(AND(B127&lt;&gt;"",D127&lt;&gt;"",F127&lt;&gt;"",H127&lt;&gt;"",M127&lt;&gt;"",N127&lt;&gt;"",Q127&lt;&gt;"",R127&lt;&gt;"",U127&lt;&gt;"",V127&lt;&gt;"",W127&lt;&gt;""),"PRONTO","PENDENTE"))</x:f>
      </x:c>
      <x:c r="AC127" s="214" t="str">
        <x:f>IF(A127="","",SUMIF('PARTICIPAÇÕES FONOGRAMA'!$A$5:$A$254,A127,'PARTICIPAÇÕES FONOGRAMA'!$I$5:$I$254))</x:f>
      </x:c>
      <x:c r="AD127" s="202" t="str">
        <x:f>IF(A127="","",IF(AC127=1,"OK 100%","CONFERIR"))</x:f>
      </x:c>
      <x:c r="AE127" s="142"/>
      <x:c r="AF127" s="142"/>
      <x:c r="AG127" s="142"/>
    </x:row>
    <x:row r="128" ht="19" customHeight="1">
      <x:c r="A128" s="142"/>
      <x:c r="B128" s="142"/>
      <x:c r="C128" s="142"/>
      <x:c r="D128" s="142"/>
      <x:c r="E128" s="142"/>
      <x:c r="F128" s="142"/>
      <x:c r="G128" s="142"/>
      <x:c r="H128" s="142"/>
      <x:c r="I128" s="142"/>
      <x:c r="J128" s="142"/>
      <x:c r="K128" s="142"/>
      <x:c r="L128" s="142"/>
      <x:c r="M128" s="208"/>
      <x:c r="N128" s="208"/>
      <x:c r="O128" s="142"/>
      <x:c r="P128" s="142"/>
      <x:c r="Q128" s="142"/>
      <x:c r="R128" s="142"/>
      <x:c r="S128" s="142"/>
      <x:c r="T128" s="142"/>
      <x:c r="U128" s="142"/>
      <x:c r="V128" s="220"/>
      <x:c r="W128" s="142"/>
      <x:c r="X128" s="208"/>
      <x:c r="Y128" s="208"/>
      <x:c r="Z128" s="142"/>
      <x:c r="AA128" s="142"/>
      <x:c r="AB128" s="202" t="str">
        <x:f>IF(A128="","",IF(AND(B128&lt;&gt;"",D128&lt;&gt;"",F128&lt;&gt;"",H128&lt;&gt;"",M128&lt;&gt;"",N128&lt;&gt;"",Q128&lt;&gt;"",R128&lt;&gt;"",U128&lt;&gt;"",V128&lt;&gt;"",W128&lt;&gt;""),"PRONTO","PENDENTE"))</x:f>
      </x:c>
      <x:c r="AC128" s="214" t="str">
        <x:f>IF(A128="","",SUMIF('PARTICIPAÇÕES FONOGRAMA'!$A$5:$A$254,A128,'PARTICIPAÇÕES FONOGRAMA'!$I$5:$I$254))</x:f>
      </x:c>
      <x:c r="AD128" s="202" t="str">
        <x:f>IF(A128="","",IF(AC128=1,"OK 100%","CONFERIR"))</x:f>
      </x:c>
      <x:c r="AE128" s="142"/>
      <x:c r="AF128" s="142"/>
      <x:c r="AG128" s="142"/>
    </x:row>
    <x:row r="129" ht="19" customHeight="1">
      <x:c r="A129" s="142"/>
      <x:c r="B129" s="142"/>
      <x:c r="C129" s="142"/>
      <x:c r="D129" s="142"/>
      <x:c r="E129" s="142"/>
      <x:c r="F129" s="142"/>
      <x:c r="G129" s="142"/>
      <x:c r="H129" s="142"/>
      <x:c r="I129" s="142"/>
      <x:c r="J129" s="142"/>
      <x:c r="K129" s="142"/>
      <x:c r="L129" s="142"/>
      <x:c r="M129" s="208"/>
      <x:c r="N129" s="208"/>
      <x:c r="O129" s="142"/>
      <x:c r="P129" s="142"/>
      <x:c r="Q129" s="142"/>
      <x:c r="R129" s="142"/>
      <x:c r="S129" s="142"/>
      <x:c r="T129" s="142"/>
      <x:c r="U129" s="142"/>
      <x:c r="V129" s="220"/>
      <x:c r="W129" s="142"/>
      <x:c r="X129" s="208"/>
      <x:c r="Y129" s="208"/>
      <x:c r="Z129" s="142"/>
      <x:c r="AA129" s="142"/>
      <x:c r="AB129" s="202" t="str">
        <x:f>IF(A129="","",IF(AND(B129&lt;&gt;"",D129&lt;&gt;"",F129&lt;&gt;"",H129&lt;&gt;"",M129&lt;&gt;"",N129&lt;&gt;"",Q129&lt;&gt;"",R129&lt;&gt;"",U129&lt;&gt;"",V129&lt;&gt;"",W129&lt;&gt;""),"PRONTO","PENDENTE"))</x:f>
      </x:c>
      <x:c r="AC129" s="214" t="str">
        <x:f>IF(A129="","",SUMIF('PARTICIPAÇÕES FONOGRAMA'!$A$5:$A$254,A129,'PARTICIPAÇÕES FONOGRAMA'!$I$5:$I$254))</x:f>
      </x:c>
      <x:c r="AD129" s="202" t="str">
        <x:f>IF(A129="","",IF(AC129=1,"OK 100%","CONFERIR"))</x:f>
      </x:c>
      <x:c r="AE129" s="142"/>
      <x:c r="AF129" s="142"/>
      <x:c r="AG129" s="142"/>
    </x:row>
    <x:row r="130" ht="19" customHeight="1">
      <x:c r="A130" s="142"/>
      <x:c r="B130" s="142"/>
      <x:c r="C130" s="142"/>
      <x:c r="D130" s="142"/>
      <x:c r="E130" s="142"/>
      <x:c r="F130" s="142"/>
      <x:c r="G130" s="142"/>
      <x:c r="H130" s="142"/>
      <x:c r="I130" s="142"/>
      <x:c r="J130" s="142"/>
      <x:c r="K130" s="142"/>
      <x:c r="L130" s="142"/>
      <x:c r="M130" s="208"/>
      <x:c r="N130" s="208"/>
      <x:c r="O130" s="142"/>
      <x:c r="P130" s="142"/>
      <x:c r="Q130" s="142"/>
      <x:c r="R130" s="142"/>
      <x:c r="S130" s="142"/>
      <x:c r="T130" s="142"/>
      <x:c r="U130" s="142"/>
      <x:c r="V130" s="220"/>
      <x:c r="W130" s="142"/>
      <x:c r="X130" s="208"/>
      <x:c r="Y130" s="208"/>
      <x:c r="Z130" s="142"/>
      <x:c r="AA130" s="142"/>
      <x:c r="AB130" s="202" t="str">
        <x:f>IF(A130="","",IF(AND(B130&lt;&gt;"",D130&lt;&gt;"",F130&lt;&gt;"",H130&lt;&gt;"",M130&lt;&gt;"",N130&lt;&gt;"",Q130&lt;&gt;"",R130&lt;&gt;"",U130&lt;&gt;"",V130&lt;&gt;"",W130&lt;&gt;""),"PRONTO","PENDENTE"))</x:f>
      </x:c>
      <x:c r="AC130" s="214" t="str">
        <x:f>IF(A130="","",SUMIF('PARTICIPAÇÕES FONOGRAMA'!$A$5:$A$254,A130,'PARTICIPAÇÕES FONOGRAMA'!$I$5:$I$254))</x:f>
      </x:c>
      <x:c r="AD130" s="202" t="str">
        <x:f>IF(A130="","",IF(AC130=1,"OK 100%","CONFERIR"))</x:f>
      </x:c>
      <x:c r="AE130" s="142"/>
      <x:c r="AF130" s="142"/>
      <x:c r="AG130" s="142"/>
    </x:row>
    <x:row r="131" ht="19" customHeight="1">
      <x:c r="A131" s="142"/>
      <x:c r="B131" s="142"/>
      <x:c r="C131" s="142"/>
      <x:c r="D131" s="142"/>
      <x:c r="E131" s="142"/>
      <x:c r="F131" s="142"/>
      <x:c r="G131" s="142"/>
      <x:c r="H131" s="142"/>
      <x:c r="I131" s="142"/>
      <x:c r="J131" s="142"/>
      <x:c r="K131" s="142"/>
      <x:c r="L131" s="142"/>
      <x:c r="M131" s="208"/>
      <x:c r="N131" s="208"/>
      <x:c r="O131" s="142"/>
      <x:c r="P131" s="142"/>
      <x:c r="Q131" s="142"/>
      <x:c r="R131" s="142"/>
      <x:c r="S131" s="142"/>
      <x:c r="T131" s="142"/>
      <x:c r="U131" s="142"/>
      <x:c r="V131" s="220"/>
      <x:c r="W131" s="142"/>
      <x:c r="X131" s="208"/>
      <x:c r="Y131" s="208"/>
      <x:c r="Z131" s="142"/>
      <x:c r="AA131" s="142"/>
      <x:c r="AB131" s="202" t="str">
        <x:f>IF(A131="","",IF(AND(B131&lt;&gt;"",D131&lt;&gt;"",F131&lt;&gt;"",H131&lt;&gt;"",M131&lt;&gt;"",N131&lt;&gt;"",Q131&lt;&gt;"",R131&lt;&gt;"",U131&lt;&gt;"",V131&lt;&gt;"",W131&lt;&gt;""),"PRONTO","PENDENTE"))</x:f>
      </x:c>
      <x:c r="AC131" s="214" t="str">
        <x:f>IF(A131="","",SUMIF('PARTICIPAÇÕES FONOGRAMA'!$A$5:$A$254,A131,'PARTICIPAÇÕES FONOGRAMA'!$I$5:$I$254))</x:f>
      </x:c>
      <x:c r="AD131" s="202" t="str">
        <x:f>IF(A131="","",IF(AC131=1,"OK 100%","CONFERIR"))</x:f>
      </x:c>
      <x:c r="AE131" s="142"/>
      <x:c r="AF131" s="142"/>
      <x:c r="AG131" s="142"/>
    </x:row>
    <x:row r="132" ht="19" customHeight="1">
      <x:c r="A132" s="142"/>
      <x:c r="B132" s="142"/>
      <x:c r="C132" s="142"/>
      <x:c r="D132" s="142"/>
      <x:c r="E132" s="142"/>
      <x:c r="F132" s="142"/>
      <x:c r="G132" s="142"/>
      <x:c r="H132" s="142"/>
      <x:c r="I132" s="142"/>
      <x:c r="J132" s="142"/>
      <x:c r="K132" s="142"/>
      <x:c r="L132" s="142"/>
      <x:c r="M132" s="208"/>
      <x:c r="N132" s="208"/>
      <x:c r="O132" s="142"/>
      <x:c r="P132" s="142"/>
      <x:c r="Q132" s="142"/>
      <x:c r="R132" s="142"/>
      <x:c r="S132" s="142"/>
      <x:c r="T132" s="142"/>
      <x:c r="U132" s="142"/>
      <x:c r="V132" s="220"/>
      <x:c r="W132" s="142"/>
      <x:c r="X132" s="208"/>
      <x:c r="Y132" s="208"/>
      <x:c r="Z132" s="142"/>
      <x:c r="AA132" s="142"/>
      <x:c r="AB132" s="202" t="str">
        <x:f>IF(A132="","",IF(AND(B132&lt;&gt;"",D132&lt;&gt;"",F132&lt;&gt;"",H132&lt;&gt;"",M132&lt;&gt;"",N132&lt;&gt;"",Q132&lt;&gt;"",R132&lt;&gt;"",U132&lt;&gt;"",V132&lt;&gt;"",W132&lt;&gt;""),"PRONTO","PENDENTE"))</x:f>
      </x:c>
      <x:c r="AC132" s="214" t="str">
        <x:f>IF(A132="","",SUMIF('PARTICIPAÇÕES FONOGRAMA'!$A$5:$A$254,A132,'PARTICIPAÇÕES FONOGRAMA'!$I$5:$I$254))</x:f>
      </x:c>
      <x:c r="AD132" s="202" t="str">
        <x:f>IF(A132="","",IF(AC132=1,"OK 100%","CONFERIR"))</x:f>
      </x:c>
      <x:c r="AE132" s="142"/>
      <x:c r="AF132" s="142"/>
      <x:c r="AG132" s="142"/>
    </x:row>
    <x:row r="133" ht="19" customHeight="1">
      <x:c r="A133" s="142"/>
      <x:c r="B133" s="142"/>
      <x:c r="C133" s="142"/>
      <x:c r="D133" s="142"/>
      <x:c r="E133" s="142"/>
      <x:c r="F133" s="142"/>
      <x:c r="G133" s="142"/>
      <x:c r="H133" s="142"/>
      <x:c r="I133" s="142"/>
      <x:c r="J133" s="142"/>
      <x:c r="K133" s="142"/>
      <x:c r="L133" s="142"/>
      <x:c r="M133" s="208"/>
      <x:c r="N133" s="208"/>
      <x:c r="O133" s="142"/>
      <x:c r="P133" s="142"/>
      <x:c r="Q133" s="142"/>
      <x:c r="R133" s="142"/>
      <x:c r="S133" s="142"/>
      <x:c r="T133" s="142"/>
      <x:c r="U133" s="142"/>
      <x:c r="V133" s="220"/>
      <x:c r="W133" s="142"/>
      <x:c r="X133" s="208"/>
      <x:c r="Y133" s="208"/>
      <x:c r="Z133" s="142"/>
      <x:c r="AA133" s="142"/>
      <x:c r="AB133" s="202" t="str">
        <x:f>IF(A133="","",IF(AND(B133&lt;&gt;"",D133&lt;&gt;"",F133&lt;&gt;"",H133&lt;&gt;"",M133&lt;&gt;"",N133&lt;&gt;"",Q133&lt;&gt;"",R133&lt;&gt;"",U133&lt;&gt;"",V133&lt;&gt;"",W133&lt;&gt;""),"PRONTO","PENDENTE"))</x:f>
      </x:c>
      <x:c r="AC133" s="214" t="str">
        <x:f>IF(A133="","",SUMIF('PARTICIPAÇÕES FONOGRAMA'!$A$5:$A$254,A133,'PARTICIPAÇÕES FONOGRAMA'!$I$5:$I$254))</x:f>
      </x:c>
      <x:c r="AD133" s="202" t="str">
        <x:f>IF(A133="","",IF(AC133=1,"OK 100%","CONFERIR"))</x:f>
      </x:c>
      <x:c r="AE133" s="142"/>
      <x:c r="AF133" s="142"/>
      <x:c r="AG133" s="142"/>
    </x:row>
    <x:row r="134" ht="19" customHeight="1">
      <x:c r="A134" s="142"/>
      <x:c r="B134" s="142"/>
      <x:c r="C134" s="142"/>
      <x:c r="D134" s="142"/>
      <x:c r="E134" s="142"/>
      <x:c r="F134" s="142"/>
      <x:c r="G134" s="142"/>
      <x:c r="H134" s="142"/>
      <x:c r="I134" s="142"/>
      <x:c r="J134" s="142"/>
      <x:c r="K134" s="142"/>
      <x:c r="L134" s="142"/>
      <x:c r="M134" s="208"/>
      <x:c r="N134" s="208"/>
      <x:c r="O134" s="142"/>
      <x:c r="P134" s="142"/>
      <x:c r="Q134" s="142"/>
      <x:c r="R134" s="142"/>
      <x:c r="S134" s="142"/>
      <x:c r="T134" s="142"/>
      <x:c r="U134" s="142"/>
      <x:c r="V134" s="220"/>
      <x:c r="W134" s="142"/>
      <x:c r="X134" s="208"/>
      <x:c r="Y134" s="208"/>
      <x:c r="Z134" s="142"/>
      <x:c r="AA134" s="142"/>
      <x:c r="AB134" s="202" t="str">
        <x:f>IF(A134="","",IF(AND(B134&lt;&gt;"",D134&lt;&gt;"",F134&lt;&gt;"",H134&lt;&gt;"",M134&lt;&gt;"",N134&lt;&gt;"",Q134&lt;&gt;"",R134&lt;&gt;"",U134&lt;&gt;"",V134&lt;&gt;"",W134&lt;&gt;""),"PRONTO","PENDENTE"))</x:f>
      </x:c>
      <x:c r="AC134" s="214" t="str">
        <x:f>IF(A134="","",SUMIF('PARTICIPAÇÕES FONOGRAMA'!$A$5:$A$254,A134,'PARTICIPAÇÕES FONOGRAMA'!$I$5:$I$254))</x:f>
      </x:c>
      <x:c r="AD134" s="202" t="str">
        <x:f>IF(A134="","",IF(AC134=1,"OK 100%","CONFERIR"))</x:f>
      </x:c>
      <x:c r="AE134" s="142"/>
      <x:c r="AF134" s="142"/>
      <x:c r="AG134" s="142"/>
    </x:row>
    <x:row r="135" ht="19" customHeight="1">
      <x:c r="A135" s="142"/>
      <x:c r="B135" s="142"/>
      <x:c r="C135" s="142"/>
      <x:c r="D135" s="142"/>
      <x:c r="E135" s="142"/>
      <x:c r="F135" s="142"/>
      <x:c r="G135" s="142"/>
      <x:c r="H135" s="142"/>
      <x:c r="I135" s="142"/>
      <x:c r="J135" s="142"/>
      <x:c r="K135" s="142"/>
      <x:c r="L135" s="142"/>
      <x:c r="M135" s="208"/>
      <x:c r="N135" s="208"/>
      <x:c r="O135" s="142"/>
      <x:c r="P135" s="142"/>
      <x:c r="Q135" s="142"/>
      <x:c r="R135" s="142"/>
      <x:c r="S135" s="142"/>
      <x:c r="T135" s="142"/>
      <x:c r="U135" s="142"/>
      <x:c r="V135" s="220"/>
      <x:c r="W135" s="142"/>
      <x:c r="X135" s="208"/>
      <x:c r="Y135" s="208"/>
      <x:c r="Z135" s="142"/>
      <x:c r="AA135" s="142"/>
      <x:c r="AB135" s="202" t="str">
        <x:f>IF(A135="","",IF(AND(B135&lt;&gt;"",D135&lt;&gt;"",F135&lt;&gt;"",H135&lt;&gt;"",M135&lt;&gt;"",N135&lt;&gt;"",Q135&lt;&gt;"",R135&lt;&gt;"",U135&lt;&gt;"",V135&lt;&gt;"",W135&lt;&gt;""),"PRONTO","PENDENTE"))</x:f>
      </x:c>
      <x:c r="AC135" s="214" t="str">
        <x:f>IF(A135="","",SUMIF('PARTICIPAÇÕES FONOGRAMA'!$A$5:$A$254,A135,'PARTICIPAÇÕES FONOGRAMA'!$I$5:$I$254))</x:f>
      </x:c>
      <x:c r="AD135" s="202" t="str">
        <x:f>IF(A135="","",IF(AC135=1,"OK 100%","CONFERIR"))</x:f>
      </x:c>
      <x:c r="AE135" s="142"/>
      <x:c r="AF135" s="142"/>
      <x:c r="AG135" s="142"/>
    </x:row>
    <x:row r="136" ht="19" customHeight="1">
      <x:c r="A136" s="142"/>
      <x:c r="B136" s="142"/>
      <x:c r="C136" s="142"/>
      <x:c r="D136" s="142"/>
      <x:c r="E136" s="142"/>
      <x:c r="F136" s="142"/>
      <x:c r="G136" s="142"/>
      <x:c r="H136" s="142"/>
      <x:c r="I136" s="142"/>
      <x:c r="J136" s="142"/>
      <x:c r="K136" s="142"/>
      <x:c r="L136" s="142"/>
      <x:c r="M136" s="208"/>
      <x:c r="N136" s="208"/>
      <x:c r="O136" s="142"/>
      <x:c r="P136" s="142"/>
      <x:c r="Q136" s="142"/>
      <x:c r="R136" s="142"/>
      <x:c r="S136" s="142"/>
      <x:c r="T136" s="142"/>
      <x:c r="U136" s="142"/>
      <x:c r="V136" s="220"/>
      <x:c r="W136" s="142"/>
      <x:c r="X136" s="208"/>
      <x:c r="Y136" s="208"/>
      <x:c r="Z136" s="142"/>
      <x:c r="AA136" s="142"/>
      <x:c r="AB136" s="202" t="str">
        <x:f>IF(A136="","",IF(AND(B136&lt;&gt;"",D136&lt;&gt;"",F136&lt;&gt;"",H136&lt;&gt;"",M136&lt;&gt;"",N136&lt;&gt;"",Q136&lt;&gt;"",R136&lt;&gt;"",U136&lt;&gt;"",V136&lt;&gt;"",W136&lt;&gt;""),"PRONTO","PENDENTE"))</x:f>
      </x:c>
      <x:c r="AC136" s="214" t="str">
        <x:f>IF(A136="","",SUMIF('PARTICIPAÇÕES FONOGRAMA'!$A$5:$A$254,A136,'PARTICIPAÇÕES FONOGRAMA'!$I$5:$I$254))</x:f>
      </x:c>
      <x:c r="AD136" s="202" t="str">
        <x:f>IF(A136="","",IF(AC136=1,"OK 100%","CONFERIR"))</x:f>
      </x:c>
      <x:c r="AE136" s="142"/>
      <x:c r="AF136" s="142"/>
      <x:c r="AG136" s="142"/>
    </x:row>
    <x:row r="137" ht="19" customHeight="1">
      <x:c r="A137" s="142"/>
      <x:c r="B137" s="142"/>
      <x:c r="C137" s="142"/>
      <x:c r="D137" s="142"/>
      <x:c r="E137" s="142"/>
      <x:c r="F137" s="142"/>
      <x:c r="G137" s="142"/>
      <x:c r="H137" s="142"/>
      <x:c r="I137" s="142"/>
      <x:c r="J137" s="142"/>
      <x:c r="K137" s="142"/>
      <x:c r="L137" s="142"/>
      <x:c r="M137" s="208"/>
      <x:c r="N137" s="208"/>
      <x:c r="O137" s="142"/>
      <x:c r="P137" s="142"/>
      <x:c r="Q137" s="142"/>
      <x:c r="R137" s="142"/>
      <x:c r="S137" s="142"/>
      <x:c r="T137" s="142"/>
      <x:c r="U137" s="142"/>
      <x:c r="V137" s="220"/>
      <x:c r="W137" s="142"/>
      <x:c r="X137" s="208"/>
      <x:c r="Y137" s="208"/>
      <x:c r="Z137" s="142"/>
      <x:c r="AA137" s="142"/>
      <x:c r="AB137" s="202" t="str">
        <x:f>IF(A137="","",IF(AND(B137&lt;&gt;"",D137&lt;&gt;"",F137&lt;&gt;"",H137&lt;&gt;"",M137&lt;&gt;"",N137&lt;&gt;"",Q137&lt;&gt;"",R137&lt;&gt;"",U137&lt;&gt;"",V137&lt;&gt;"",W137&lt;&gt;""),"PRONTO","PENDENTE"))</x:f>
      </x:c>
      <x:c r="AC137" s="214" t="str">
        <x:f>IF(A137="","",SUMIF('PARTICIPAÇÕES FONOGRAMA'!$A$5:$A$254,A137,'PARTICIPAÇÕES FONOGRAMA'!$I$5:$I$254))</x:f>
      </x:c>
      <x:c r="AD137" s="202" t="str">
        <x:f>IF(A137="","",IF(AC137=1,"OK 100%","CONFERIR"))</x:f>
      </x:c>
      <x:c r="AE137" s="142"/>
      <x:c r="AF137" s="142"/>
      <x:c r="AG137" s="142"/>
    </x:row>
    <x:row r="138" ht="19" customHeight="1">
      <x:c r="A138" s="142"/>
      <x:c r="B138" s="142"/>
      <x:c r="C138" s="142"/>
      <x:c r="D138" s="142"/>
      <x:c r="E138" s="142"/>
      <x:c r="F138" s="142"/>
      <x:c r="G138" s="142"/>
      <x:c r="H138" s="142"/>
      <x:c r="I138" s="142"/>
      <x:c r="J138" s="142"/>
      <x:c r="K138" s="142"/>
      <x:c r="L138" s="142"/>
      <x:c r="M138" s="208"/>
      <x:c r="N138" s="208"/>
      <x:c r="O138" s="142"/>
      <x:c r="P138" s="142"/>
      <x:c r="Q138" s="142"/>
      <x:c r="R138" s="142"/>
      <x:c r="S138" s="142"/>
      <x:c r="T138" s="142"/>
      <x:c r="U138" s="142"/>
      <x:c r="V138" s="220"/>
      <x:c r="W138" s="142"/>
      <x:c r="X138" s="208"/>
      <x:c r="Y138" s="208"/>
      <x:c r="Z138" s="142"/>
      <x:c r="AA138" s="142"/>
      <x:c r="AB138" s="202" t="str">
        <x:f>IF(A138="","",IF(AND(B138&lt;&gt;"",D138&lt;&gt;"",F138&lt;&gt;"",H138&lt;&gt;"",M138&lt;&gt;"",N138&lt;&gt;"",Q138&lt;&gt;"",R138&lt;&gt;"",U138&lt;&gt;"",V138&lt;&gt;"",W138&lt;&gt;""),"PRONTO","PENDENTE"))</x:f>
      </x:c>
      <x:c r="AC138" s="214" t="str">
        <x:f>IF(A138="","",SUMIF('PARTICIPAÇÕES FONOGRAMA'!$A$5:$A$254,A138,'PARTICIPAÇÕES FONOGRAMA'!$I$5:$I$254))</x:f>
      </x:c>
      <x:c r="AD138" s="202" t="str">
        <x:f>IF(A138="","",IF(AC138=1,"OK 100%","CONFERIR"))</x:f>
      </x:c>
      <x:c r="AE138" s="142"/>
      <x:c r="AF138" s="142"/>
      <x:c r="AG138" s="142"/>
    </x:row>
    <x:row r="139" ht="19" customHeight="1">
      <x:c r="A139" s="142"/>
      <x:c r="B139" s="142"/>
      <x:c r="C139" s="142"/>
      <x:c r="D139" s="142"/>
      <x:c r="E139" s="142"/>
      <x:c r="F139" s="142"/>
      <x:c r="G139" s="142"/>
      <x:c r="H139" s="142"/>
      <x:c r="I139" s="142"/>
      <x:c r="J139" s="142"/>
      <x:c r="K139" s="142"/>
      <x:c r="L139" s="142"/>
      <x:c r="M139" s="208"/>
      <x:c r="N139" s="208"/>
      <x:c r="O139" s="142"/>
      <x:c r="P139" s="142"/>
      <x:c r="Q139" s="142"/>
      <x:c r="R139" s="142"/>
      <x:c r="S139" s="142"/>
      <x:c r="T139" s="142"/>
      <x:c r="U139" s="142"/>
      <x:c r="V139" s="220"/>
      <x:c r="W139" s="142"/>
      <x:c r="X139" s="208"/>
      <x:c r="Y139" s="208"/>
      <x:c r="Z139" s="142"/>
      <x:c r="AA139" s="142"/>
      <x:c r="AB139" s="202" t="str">
        <x:f>IF(A139="","",IF(AND(B139&lt;&gt;"",D139&lt;&gt;"",F139&lt;&gt;"",H139&lt;&gt;"",M139&lt;&gt;"",N139&lt;&gt;"",Q139&lt;&gt;"",R139&lt;&gt;"",U139&lt;&gt;"",V139&lt;&gt;"",W139&lt;&gt;""),"PRONTO","PENDENTE"))</x:f>
      </x:c>
      <x:c r="AC139" s="214" t="str">
        <x:f>IF(A139="","",SUMIF('PARTICIPAÇÕES FONOGRAMA'!$A$5:$A$254,A139,'PARTICIPAÇÕES FONOGRAMA'!$I$5:$I$254))</x:f>
      </x:c>
      <x:c r="AD139" s="202" t="str">
        <x:f>IF(A139="","",IF(AC139=1,"OK 100%","CONFERIR"))</x:f>
      </x:c>
      <x:c r="AE139" s="142"/>
      <x:c r="AF139" s="142"/>
      <x:c r="AG139" s="142"/>
    </x:row>
    <x:row r="140" ht="19" customHeight="1">
      <x:c r="A140" s="142"/>
      <x:c r="B140" s="142"/>
      <x:c r="C140" s="142"/>
      <x:c r="D140" s="142"/>
      <x:c r="E140" s="142"/>
      <x:c r="F140" s="142"/>
      <x:c r="G140" s="142"/>
      <x:c r="H140" s="142"/>
      <x:c r="I140" s="142"/>
      <x:c r="J140" s="142"/>
      <x:c r="K140" s="142"/>
      <x:c r="L140" s="142"/>
      <x:c r="M140" s="208"/>
      <x:c r="N140" s="208"/>
      <x:c r="O140" s="142"/>
      <x:c r="P140" s="142"/>
      <x:c r="Q140" s="142"/>
      <x:c r="R140" s="142"/>
      <x:c r="S140" s="142"/>
      <x:c r="T140" s="142"/>
      <x:c r="U140" s="142"/>
      <x:c r="V140" s="220"/>
      <x:c r="W140" s="142"/>
      <x:c r="X140" s="208"/>
      <x:c r="Y140" s="208"/>
      <x:c r="Z140" s="142"/>
      <x:c r="AA140" s="142"/>
      <x:c r="AB140" s="202" t="str">
        <x:f>IF(A140="","",IF(AND(B140&lt;&gt;"",D140&lt;&gt;"",F140&lt;&gt;"",H140&lt;&gt;"",M140&lt;&gt;"",N140&lt;&gt;"",Q140&lt;&gt;"",R140&lt;&gt;"",U140&lt;&gt;"",V140&lt;&gt;"",W140&lt;&gt;""),"PRONTO","PENDENTE"))</x:f>
      </x:c>
      <x:c r="AC140" s="214" t="str">
        <x:f>IF(A140="","",SUMIF('PARTICIPAÇÕES FONOGRAMA'!$A$5:$A$254,A140,'PARTICIPAÇÕES FONOGRAMA'!$I$5:$I$254))</x:f>
      </x:c>
      <x:c r="AD140" s="202" t="str">
        <x:f>IF(A140="","",IF(AC140=1,"OK 100%","CONFERIR"))</x:f>
      </x:c>
      <x:c r="AE140" s="142"/>
      <x:c r="AF140" s="142"/>
      <x:c r="AG140" s="142"/>
    </x:row>
    <x:row r="141" ht="19" customHeight="1">
      <x:c r="A141" s="142"/>
      <x:c r="B141" s="142"/>
      <x:c r="C141" s="142"/>
      <x:c r="D141" s="142"/>
      <x:c r="E141" s="142"/>
      <x:c r="F141" s="142"/>
      <x:c r="G141" s="142"/>
      <x:c r="H141" s="142"/>
      <x:c r="I141" s="142"/>
      <x:c r="J141" s="142"/>
      <x:c r="K141" s="142"/>
      <x:c r="L141" s="142"/>
      <x:c r="M141" s="208"/>
      <x:c r="N141" s="208"/>
      <x:c r="O141" s="142"/>
      <x:c r="P141" s="142"/>
      <x:c r="Q141" s="142"/>
      <x:c r="R141" s="142"/>
      <x:c r="S141" s="142"/>
      <x:c r="T141" s="142"/>
      <x:c r="U141" s="142"/>
      <x:c r="V141" s="220"/>
      <x:c r="W141" s="142"/>
      <x:c r="X141" s="208"/>
      <x:c r="Y141" s="208"/>
      <x:c r="Z141" s="142"/>
      <x:c r="AA141" s="142"/>
      <x:c r="AB141" s="202" t="str">
        <x:f>IF(A141="","",IF(AND(B141&lt;&gt;"",D141&lt;&gt;"",F141&lt;&gt;"",H141&lt;&gt;"",M141&lt;&gt;"",N141&lt;&gt;"",Q141&lt;&gt;"",R141&lt;&gt;"",U141&lt;&gt;"",V141&lt;&gt;"",W141&lt;&gt;""),"PRONTO","PENDENTE"))</x:f>
      </x:c>
      <x:c r="AC141" s="214" t="str">
        <x:f>IF(A141="","",SUMIF('PARTICIPAÇÕES FONOGRAMA'!$A$5:$A$254,A141,'PARTICIPAÇÕES FONOGRAMA'!$I$5:$I$254))</x:f>
      </x:c>
      <x:c r="AD141" s="202" t="str">
        <x:f>IF(A141="","",IF(AC141=1,"OK 100%","CONFERIR"))</x:f>
      </x:c>
      <x:c r="AE141" s="142"/>
      <x:c r="AF141" s="142"/>
      <x:c r="AG141" s="142"/>
    </x:row>
    <x:row r="142" ht="19" customHeight="1">
      <x:c r="A142" s="142"/>
      <x:c r="B142" s="142"/>
      <x:c r="C142" s="142"/>
      <x:c r="D142" s="142"/>
      <x:c r="E142" s="142"/>
      <x:c r="F142" s="142"/>
      <x:c r="G142" s="142"/>
      <x:c r="H142" s="142"/>
      <x:c r="I142" s="142"/>
      <x:c r="J142" s="142"/>
      <x:c r="K142" s="142"/>
      <x:c r="L142" s="142"/>
      <x:c r="M142" s="208"/>
      <x:c r="N142" s="208"/>
      <x:c r="O142" s="142"/>
      <x:c r="P142" s="142"/>
      <x:c r="Q142" s="142"/>
      <x:c r="R142" s="142"/>
      <x:c r="S142" s="142"/>
      <x:c r="T142" s="142"/>
      <x:c r="U142" s="142"/>
      <x:c r="V142" s="220"/>
      <x:c r="W142" s="142"/>
      <x:c r="X142" s="208"/>
      <x:c r="Y142" s="208"/>
      <x:c r="Z142" s="142"/>
      <x:c r="AA142" s="142"/>
      <x:c r="AB142" s="202" t="str">
        <x:f>IF(A142="","",IF(AND(B142&lt;&gt;"",D142&lt;&gt;"",F142&lt;&gt;"",H142&lt;&gt;"",M142&lt;&gt;"",N142&lt;&gt;"",Q142&lt;&gt;"",R142&lt;&gt;"",U142&lt;&gt;"",V142&lt;&gt;"",W142&lt;&gt;""),"PRONTO","PENDENTE"))</x:f>
      </x:c>
      <x:c r="AC142" s="214" t="str">
        <x:f>IF(A142="","",SUMIF('PARTICIPAÇÕES FONOGRAMA'!$A$5:$A$254,A142,'PARTICIPAÇÕES FONOGRAMA'!$I$5:$I$254))</x:f>
      </x:c>
      <x:c r="AD142" s="202" t="str">
        <x:f>IF(A142="","",IF(AC142=1,"OK 100%","CONFERIR"))</x:f>
      </x:c>
      <x:c r="AE142" s="142"/>
      <x:c r="AF142" s="142"/>
      <x:c r="AG142" s="142"/>
    </x:row>
    <x:row r="143" ht="19" customHeight="1">
      <x:c r="A143" s="142"/>
      <x:c r="B143" s="142"/>
      <x:c r="C143" s="142"/>
      <x:c r="D143" s="142"/>
      <x:c r="E143" s="142"/>
      <x:c r="F143" s="142"/>
      <x:c r="G143" s="142"/>
      <x:c r="H143" s="142"/>
      <x:c r="I143" s="142"/>
      <x:c r="J143" s="142"/>
      <x:c r="K143" s="142"/>
      <x:c r="L143" s="142"/>
      <x:c r="M143" s="208"/>
      <x:c r="N143" s="208"/>
      <x:c r="O143" s="142"/>
      <x:c r="P143" s="142"/>
      <x:c r="Q143" s="142"/>
      <x:c r="R143" s="142"/>
      <x:c r="S143" s="142"/>
      <x:c r="T143" s="142"/>
      <x:c r="U143" s="142"/>
      <x:c r="V143" s="220"/>
      <x:c r="W143" s="142"/>
      <x:c r="X143" s="208"/>
      <x:c r="Y143" s="208"/>
      <x:c r="Z143" s="142"/>
      <x:c r="AA143" s="142"/>
      <x:c r="AB143" s="202" t="str">
        <x:f>IF(A143="","",IF(AND(B143&lt;&gt;"",D143&lt;&gt;"",F143&lt;&gt;"",H143&lt;&gt;"",M143&lt;&gt;"",N143&lt;&gt;"",Q143&lt;&gt;"",R143&lt;&gt;"",U143&lt;&gt;"",V143&lt;&gt;"",W143&lt;&gt;""),"PRONTO","PENDENTE"))</x:f>
      </x:c>
      <x:c r="AC143" s="214" t="str">
        <x:f>IF(A143="","",SUMIF('PARTICIPAÇÕES FONOGRAMA'!$A$5:$A$254,A143,'PARTICIPAÇÕES FONOGRAMA'!$I$5:$I$254))</x:f>
      </x:c>
      <x:c r="AD143" s="202" t="str">
        <x:f>IF(A143="","",IF(AC143=1,"OK 100%","CONFERIR"))</x:f>
      </x:c>
      <x:c r="AE143" s="142"/>
      <x:c r="AF143" s="142"/>
      <x:c r="AG143" s="142"/>
    </x:row>
    <x:row r="144" ht="19" customHeight="1">
      <x:c r="A144" s="142"/>
      <x:c r="B144" s="142"/>
      <x:c r="C144" s="142"/>
      <x:c r="D144" s="142"/>
      <x:c r="E144" s="142"/>
      <x:c r="F144" s="142"/>
      <x:c r="G144" s="142"/>
      <x:c r="H144" s="142"/>
      <x:c r="I144" s="142"/>
      <x:c r="J144" s="142"/>
      <x:c r="K144" s="142"/>
      <x:c r="L144" s="142"/>
      <x:c r="M144" s="208"/>
      <x:c r="N144" s="208"/>
      <x:c r="O144" s="142"/>
      <x:c r="P144" s="142"/>
      <x:c r="Q144" s="142"/>
      <x:c r="R144" s="142"/>
      <x:c r="S144" s="142"/>
      <x:c r="T144" s="142"/>
      <x:c r="U144" s="142"/>
      <x:c r="V144" s="220"/>
      <x:c r="W144" s="142"/>
      <x:c r="X144" s="208"/>
      <x:c r="Y144" s="208"/>
      <x:c r="Z144" s="142"/>
      <x:c r="AA144" s="142"/>
      <x:c r="AB144" s="202" t="str">
        <x:f>IF(A144="","",IF(AND(B144&lt;&gt;"",D144&lt;&gt;"",F144&lt;&gt;"",H144&lt;&gt;"",M144&lt;&gt;"",N144&lt;&gt;"",Q144&lt;&gt;"",R144&lt;&gt;"",U144&lt;&gt;"",V144&lt;&gt;"",W144&lt;&gt;""),"PRONTO","PENDENTE"))</x:f>
      </x:c>
      <x:c r="AC144" s="214" t="str">
        <x:f>IF(A144="","",SUMIF('PARTICIPAÇÕES FONOGRAMA'!$A$5:$A$254,A144,'PARTICIPAÇÕES FONOGRAMA'!$I$5:$I$254))</x:f>
      </x:c>
      <x:c r="AD144" s="202" t="str">
        <x:f>IF(A144="","",IF(AC144=1,"OK 100%","CONFERIR"))</x:f>
      </x:c>
      <x:c r="AE144" s="142"/>
      <x:c r="AF144" s="142"/>
      <x:c r="AG144" s="142"/>
    </x:row>
    <x:row r="145" ht="19" customHeight="1">
      <x:c r="A145" s="142"/>
      <x:c r="B145" s="142"/>
      <x:c r="C145" s="142"/>
      <x:c r="D145" s="142"/>
      <x:c r="E145" s="142"/>
      <x:c r="F145" s="142"/>
      <x:c r="G145" s="142"/>
      <x:c r="H145" s="142"/>
      <x:c r="I145" s="142"/>
      <x:c r="J145" s="142"/>
      <x:c r="K145" s="142"/>
      <x:c r="L145" s="142"/>
      <x:c r="M145" s="208"/>
      <x:c r="N145" s="208"/>
      <x:c r="O145" s="142"/>
      <x:c r="P145" s="142"/>
      <x:c r="Q145" s="142"/>
      <x:c r="R145" s="142"/>
      <x:c r="S145" s="142"/>
      <x:c r="T145" s="142"/>
      <x:c r="U145" s="142"/>
      <x:c r="V145" s="220"/>
      <x:c r="W145" s="142"/>
      <x:c r="X145" s="208"/>
      <x:c r="Y145" s="208"/>
      <x:c r="Z145" s="142"/>
      <x:c r="AA145" s="142"/>
      <x:c r="AB145" s="202" t="str">
        <x:f>IF(A145="","",IF(AND(B145&lt;&gt;"",D145&lt;&gt;"",F145&lt;&gt;"",H145&lt;&gt;"",M145&lt;&gt;"",N145&lt;&gt;"",Q145&lt;&gt;"",R145&lt;&gt;"",U145&lt;&gt;"",V145&lt;&gt;"",W145&lt;&gt;""),"PRONTO","PENDENTE"))</x:f>
      </x:c>
      <x:c r="AC145" s="214" t="str">
        <x:f>IF(A145="","",SUMIF('PARTICIPAÇÕES FONOGRAMA'!$A$5:$A$254,A145,'PARTICIPAÇÕES FONOGRAMA'!$I$5:$I$254))</x:f>
      </x:c>
      <x:c r="AD145" s="202" t="str">
        <x:f>IF(A145="","",IF(AC145=1,"OK 100%","CONFERIR"))</x:f>
      </x:c>
      <x:c r="AE145" s="142"/>
      <x:c r="AF145" s="142"/>
      <x:c r="AG145" s="142"/>
    </x:row>
    <x:row r="146" ht="19" customHeight="1">
      <x:c r="A146" s="142"/>
      <x:c r="B146" s="142"/>
      <x:c r="C146" s="142"/>
      <x:c r="D146" s="142"/>
      <x:c r="E146" s="142"/>
      <x:c r="F146" s="142"/>
      <x:c r="G146" s="142"/>
      <x:c r="H146" s="142"/>
      <x:c r="I146" s="142"/>
      <x:c r="J146" s="142"/>
      <x:c r="K146" s="142"/>
      <x:c r="L146" s="142"/>
      <x:c r="M146" s="208"/>
      <x:c r="N146" s="208"/>
      <x:c r="O146" s="142"/>
      <x:c r="P146" s="142"/>
      <x:c r="Q146" s="142"/>
      <x:c r="R146" s="142"/>
      <x:c r="S146" s="142"/>
      <x:c r="T146" s="142"/>
      <x:c r="U146" s="142"/>
      <x:c r="V146" s="220"/>
      <x:c r="W146" s="142"/>
      <x:c r="X146" s="208"/>
      <x:c r="Y146" s="208"/>
      <x:c r="Z146" s="142"/>
      <x:c r="AA146" s="142"/>
      <x:c r="AB146" s="202" t="str">
        <x:f>IF(A146="","",IF(AND(B146&lt;&gt;"",D146&lt;&gt;"",F146&lt;&gt;"",H146&lt;&gt;"",M146&lt;&gt;"",N146&lt;&gt;"",Q146&lt;&gt;"",R146&lt;&gt;"",U146&lt;&gt;"",V146&lt;&gt;"",W146&lt;&gt;""),"PRONTO","PENDENTE"))</x:f>
      </x:c>
      <x:c r="AC146" s="214" t="str">
        <x:f>IF(A146="","",SUMIF('PARTICIPAÇÕES FONOGRAMA'!$A$5:$A$254,A146,'PARTICIPAÇÕES FONOGRAMA'!$I$5:$I$254))</x:f>
      </x:c>
      <x:c r="AD146" s="202" t="str">
        <x:f>IF(A146="","",IF(AC146=1,"OK 100%","CONFERIR"))</x:f>
      </x:c>
      <x:c r="AE146" s="142"/>
      <x:c r="AF146" s="142"/>
      <x:c r="AG146" s="142"/>
    </x:row>
    <x:row r="147" ht="19" customHeight="1">
      <x:c r="A147" s="142"/>
      <x:c r="B147" s="142"/>
      <x:c r="C147" s="142"/>
      <x:c r="D147" s="142"/>
      <x:c r="E147" s="142"/>
      <x:c r="F147" s="142"/>
      <x:c r="G147" s="142"/>
      <x:c r="H147" s="142"/>
      <x:c r="I147" s="142"/>
      <x:c r="J147" s="142"/>
      <x:c r="K147" s="142"/>
      <x:c r="L147" s="142"/>
      <x:c r="M147" s="208"/>
      <x:c r="N147" s="208"/>
      <x:c r="O147" s="142"/>
      <x:c r="P147" s="142"/>
      <x:c r="Q147" s="142"/>
      <x:c r="R147" s="142"/>
      <x:c r="S147" s="142"/>
      <x:c r="T147" s="142"/>
      <x:c r="U147" s="142"/>
      <x:c r="V147" s="220"/>
      <x:c r="W147" s="142"/>
      <x:c r="X147" s="208"/>
      <x:c r="Y147" s="208"/>
      <x:c r="Z147" s="142"/>
      <x:c r="AA147" s="142"/>
      <x:c r="AB147" s="202" t="str">
        <x:f>IF(A147="","",IF(AND(B147&lt;&gt;"",D147&lt;&gt;"",F147&lt;&gt;"",H147&lt;&gt;"",M147&lt;&gt;"",N147&lt;&gt;"",Q147&lt;&gt;"",R147&lt;&gt;"",U147&lt;&gt;"",V147&lt;&gt;"",W147&lt;&gt;""),"PRONTO","PENDENTE"))</x:f>
      </x:c>
      <x:c r="AC147" s="214" t="str">
        <x:f>IF(A147="","",SUMIF('PARTICIPAÇÕES FONOGRAMA'!$A$5:$A$254,A147,'PARTICIPAÇÕES FONOGRAMA'!$I$5:$I$254))</x:f>
      </x:c>
      <x:c r="AD147" s="202" t="str">
        <x:f>IF(A147="","",IF(AC147=1,"OK 100%","CONFERIR"))</x:f>
      </x:c>
      <x:c r="AE147" s="142"/>
      <x:c r="AF147" s="142"/>
      <x:c r="AG147" s="142"/>
    </x:row>
    <x:row r="148" ht="19" customHeight="1">
      <x:c r="A148" s="142"/>
      <x:c r="B148" s="142"/>
      <x:c r="C148" s="142"/>
      <x:c r="D148" s="142"/>
      <x:c r="E148" s="142"/>
      <x:c r="F148" s="142"/>
      <x:c r="G148" s="142"/>
      <x:c r="H148" s="142"/>
      <x:c r="I148" s="142"/>
      <x:c r="J148" s="142"/>
      <x:c r="K148" s="142"/>
      <x:c r="L148" s="142"/>
      <x:c r="M148" s="208"/>
      <x:c r="N148" s="208"/>
      <x:c r="O148" s="142"/>
      <x:c r="P148" s="142"/>
      <x:c r="Q148" s="142"/>
      <x:c r="R148" s="142"/>
      <x:c r="S148" s="142"/>
      <x:c r="T148" s="142"/>
      <x:c r="U148" s="142"/>
      <x:c r="V148" s="220"/>
      <x:c r="W148" s="142"/>
      <x:c r="X148" s="208"/>
      <x:c r="Y148" s="208"/>
      <x:c r="Z148" s="142"/>
      <x:c r="AA148" s="142"/>
      <x:c r="AB148" s="202" t="str">
        <x:f>IF(A148="","",IF(AND(B148&lt;&gt;"",D148&lt;&gt;"",F148&lt;&gt;"",H148&lt;&gt;"",M148&lt;&gt;"",N148&lt;&gt;"",Q148&lt;&gt;"",R148&lt;&gt;"",U148&lt;&gt;"",V148&lt;&gt;"",W148&lt;&gt;""),"PRONTO","PENDENTE"))</x:f>
      </x:c>
      <x:c r="AC148" s="214" t="str">
        <x:f>IF(A148="","",SUMIF('PARTICIPAÇÕES FONOGRAMA'!$A$5:$A$254,A148,'PARTICIPAÇÕES FONOGRAMA'!$I$5:$I$254))</x:f>
      </x:c>
      <x:c r="AD148" s="202" t="str">
        <x:f>IF(A148="","",IF(AC148=1,"OK 100%","CONFERIR"))</x:f>
      </x:c>
      <x:c r="AE148" s="142"/>
      <x:c r="AF148" s="142"/>
      <x:c r="AG148" s="142"/>
    </x:row>
    <x:row r="149" ht="19" customHeight="1">
      <x:c r="A149" s="142"/>
      <x:c r="B149" s="142"/>
      <x:c r="C149" s="142"/>
      <x:c r="D149" s="142"/>
      <x:c r="E149" s="142"/>
      <x:c r="F149" s="142"/>
      <x:c r="G149" s="142"/>
      <x:c r="H149" s="142"/>
      <x:c r="I149" s="142"/>
      <x:c r="J149" s="142"/>
      <x:c r="K149" s="142"/>
      <x:c r="L149" s="142"/>
      <x:c r="M149" s="208"/>
      <x:c r="N149" s="208"/>
      <x:c r="O149" s="142"/>
      <x:c r="P149" s="142"/>
      <x:c r="Q149" s="142"/>
      <x:c r="R149" s="142"/>
      <x:c r="S149" s="142"/>
      <x:c r="T149" s="142"/>
      <x:c r="U149" s="142"/>
      <x:c r="V149" s="220"/>
      <x:c r="W149" s="142"/>
      <x:c r="X149" s="208"/>
      <x:c r="Y149" s="208"/>
      <x:c r="Z149" s="142"/>
      <x:c r="AA149" s="142"/>
      <x:c r="AB149" s="202" t="str">
        <x:f>IF(A149="","",IF(AND(B149&lt;&gt;"",D149&lt;&gt;"",F149&lt;&gt;"",H149&lt;&gt;"",M149&lt;&gt;"",N149&lt;&gt;"",Q149&lt;&gt;"",R149&lt;&gt;"",U149&lt;&gt;"",V149&lt;&gt;"",W149&lt;&gt;""),"PRONTO","PENDENTE"))</x:f>
      </x:c>
      <x:c r="AC149" s="214" t="str">
        <x:f>IF(A149="","",SUMIF('PARTICIPAÇÕES FONOGRAMA'!$A$5:$A$254,A149,'PARTICIPAÇÕES FONOGRAMA'!$I$5:$I$254))</x:f>
      </x:c>
      <x:c r="AD149" s="202" t="str">
        <x:f>IF(A149="","",IF(AC149=1,"OK 100%","CONFERIR"))</x:f>
      </x:c>
      <x:c r="AE149" s="142"/>
      <x:c r="AF149" s="142"/>
      <x:c r="AG149" s="142"/>
    </x:row>
    <x:row r="150" ht="19" customHeight="1">
      <x:c r="A150" s="142"/>
      <x:c r="B150" s="142"/>
      <x:c r="C150" s="142"/>
      <x:c r="D150" s="142"/>
      <x:c r="E150" s="142"/>
      <x:c r="F150" s="142"/>
      <x:c r="G150" s="142"/>
      <x:c r="H150" s="142"/>
      <x:c r="I150" s="142"/>
      <x:c r="J150" s="142"/>
      <x:c r="K150" s="142"/>
      <x:c r="L150" s="142"/>
      <x:c r="M150" s="208"/>
      <x:c r="N150" s="208"/>
      <x:c r="O150" s="142"/>
      <x:c r="P150" s="142"/>
      <x:c r="Q150" s="142"/>
      <x:c r="R150" s="142"/>
      <x:c r="S150" s="142"/>
      <x:c r="T150" s="142"/>
      <x:c r="U150" s="142"/>
      <x:c r="V150" s="220"/>
      <x:c r="W150" s="142"/>
      <x:c r="X150" s="208"/>
      <x:c r="Y150" s="208"/>
      <x:c r="Z150" s="142"/>
      <x:c r="AA150" s="142"/>
      <x:c r="AB150" s="202" t="str">
        <x:f>IF(A150="","",IF(AND(B150&lt;&gt;"",D150&lt;&gt;"",F150&lt;&gt;"",H150&lt;&gt;"",M150&lt;&gt;"",N150&lt;&gt;"",Q150&lt;&gt;"",R150&lt;&gt;"",U150&lt;&gt;"",V150&lt;&gt;"",W150&lt;&gt;""),"PRONTO","PENDENTE"))</x:f>
      </x:c>
      <x:c r="AC150" s="214" t="str">
        <x:f>IF(A150="","",SUMIF('PARTICIPAÇÕES FONOGRAMA'!$A$5:$A$254,A150,'PARTICIPAÇÕES FONOGRAMA'!$I$5:$I$254))</x:f>
      </x:c>
      <x:c r="AD150" s="202" t="str">
        <x:f>IF(A150="","",IF(AC150=1,"OK 100%","CONFERIR"))</x:f>
      </x:c>
      <x:c r="AE150" s="142"/>
      <x:c r="AF150" s="142"/>
      <x:c r="AG150" s="142"/>
    </x:row>
    <x:row r="151" ht="19" customHeight="1">
      <x:c r="A151" s="142"/>
      <x:c r="B151" s="142"/>
      <x:c r="C151" s="142"/>
      <x:c r="D151" s="142"/>
      <x:c r="E151" s="142"/>
      <x:c r="F151" s="142"/>
      <x:c r="G151" s="142"/>
      <x:c r="H151" s="142"/>
      <x:c r="I151" s="142"/>
      <x:c r="J151" s="142"/>
      <x:c r="K151" s="142"/>
      <x:c r="L151" s="142"/>
      <x:c r="M151" s="208"/>
      <x:c r="N151" s="208"/>
      <x:c r="O151" s="142"/>
      <x:c r="P151" s="142"/>
      <x:c r="Q151" s="142"/>
      <x:c r="R151" s="142"/>
      <x:c r="S151" s="142"/>
      <x:c r="T151" s="142"/>
      <x:c r="U151" s="142"/>
      <x:c r="V151" s="220"/>
      <x:c r="W151" s="142"/>
      <x:c r="X151" s="208"/>
      <x:c r="Y151" s="208"/>
      <x:c r="Z151" s="142"/>
      <x:c r="AA151" s="142"/>
      <x:c r="AB151" s="202" t="str">
        <x:f>IF(A151="","",IF(AND(B151&lt;&gt;"",D151&lt;&gt;"",F151&lt;&gt;"",H151&lt;&gt;"",M151&lt;&gt;"",N151&lt;&gt;"",Q151&lt;&gt;"",R151&lt;&gt;"",U151&lt;&gt;"",V151&lt;&gt;"",W151&lt;&gt;""),"PRONTO","PENDENTE"))</x:f>
      </x:c>
      <x:c r="AC151" s="214" t="str">
        <x:f>IF(A151="","",SUMIF('PARTICIPAÇÕES FONOGRAMA'!$A$5:$A$254,A151,'PARTICIPAÇÕES FONOGRAMA'!$I$5:$I$254))</x:f>
      </x:c>
      <x:c r="AD151" s="202" t="str">
        <x:f>IF(A151="","",IF(AC151=1,"OK 100%","CONFERIR"))</x:f>
      </x:c>
      <x:c r="AE151" s="142"/>
      <x:c r="AF151" s="142"/>
      <x:c r="AG151" s="142"/>
    </x:row>
    <x:row r="152" ht="19" customHeight="1">
      <x:c r="A152" s="142"/>
      <x:c r="B152" s="142"/>
      <x:c r="C152" s="142"/>
      <x:c r="D152" s="142"/>
      <x:c r="E152" s="142"/>
      <x:c r="F152" s="142"/>
      <x:c r="G152" s="142"/>
      <x:c r="H152" s="142"/>
      <x:c r="I152" s="142"/>
      <x:c r="J152" s="142"/>
      <x:c r="K152" s="142"/>
      <x:c r="L152" s="142"/>
      <x:c r="M152" s="208"/>
      <x:c r="N152" s="208"/>
      <x:c r="O152" s="142"/>
      <x:c r="P152" s="142"/>
      <x:c r="Q152" s="142"/>
      <x:c r="R152" s="142"/>
      <x:c r="S152" s="142"/>
      <x:c r="T152" s="142"/>
      <x:c r="U152" s="142"/>
      <x:c r="V152" s="220"/>
      <x:c r="W152" s="142"/>
      <x:c r="X152" s="208"/>
      <x:c r="Y152" s="208"/>
      <x:c r="Z152" s="142"/>
      <x:c r="AA152" s="142"/>
      <x:c r="AB152" s="202" t="str">
        <x:f>IF(A152="","",IF(AND(B152&lt;&gt;"",D152&lt;&gt;"",F152&lt;&gt;"",H152&lt;&gt;"",M152&lt;&gt;"",N152&lt;&gt;"",Q152&lt;&gt;"",R152&lt;&gt;"",U152&lt;&gt;"",V152&lt;&gt;"",W152&lt;&gt;""),"PRONTO","PENDENTE"))</x:f>
      </x:c>
      <x:c r="AC152" s="214" t="str">
        <x:f>IF(A152="","",SUMIF('PARTICIPAÇÕES FONOGRAMA'!$A$5:$A$254,A152,'PARTICIPAÇÕES FONOGRAMA'!$I$5:$I$254))</x:f>
      </x:c>
      <x:c r="AD152" s="202" t="str">
        <x:f>IF(A152="","",IF(AC152=1,"OK 100%","CONFERIR"))</x:f>
      </x:c>
      <x:c r="AE152" s="142"/>
      <x:c r="AF152" s="142"/>
      <x:c r="AG152" s="142"/>
    </x:row>
    <x:row r="153" ht="19" customHeight="1">
      <x:c r="A153" s="142"/>
      <x:c r="B153" s="142"/>
      <x:c r="C153" s="142"/>
      <x:c r="D153" s="142"/>
      <x:c r="E153" s="142"/>
      <x:c r="F153" s="142"/>
      <x:c r="G153" s="142"/>
      <x:c r="H153" s="142"/>
      <x:c r="I153" s="142"/>
      <x:c r="J153" s="142"/>
      <x:c r="K153" s="142"/>
      <x:c r="L153" s="142"/>
      <x:c r="M153" s="208"/>
      <x:c r="N153" s="208"/>
      <x:c r="O153" s="142"/>
      <x:c r="P153" s="142"/>
      <x:c r="Q153" s="142"/>
      <x:c r="R153" s="142"/>
      <x:c r="S153" s="142"/>
      <x:c r="T153" s="142"/>
      <x:c r="U153" s="142"/>
      <x:c r="V153" s="220"/>
      <x:c r="W153" s="142"/>
      <x:c r="X153" s="208"/>
      <x:c r="Y153" s="208"/>
      <x:c r="Z153" s="142"/>
      <x:c r="AA153" s="142"/>
      <x:c r="AB153" s="202" t="str">
        <x:f>IF(A153="","",IF(AND(B153&lt;&gt;"",D153&lt;&gt;"",F153&lt;&gt;"",H153&lt;&gt;"",M153&lt;&gt;"",N153&lt;&gt;"",Q153&lt;&gt;"",R153&lt;&gt;"",U153&lt;&gt;"",V153&lt;&gt;"",W153&lt;&gt;""),"PRONTO","PENDENTE"))</x:f>
      </x:c>
      <x:c r="AC153" s="214" t="str">
        <x:f>IF(A153="","",SUMIF('PARTICIPAÇÕES FONOGRAMA'!$A$5:$A$254,A153,'PARTICIPAÇÕES FONOGRAMA'!$I$5:$I$254))</x:f>
      </x:c>
      <x:c r="AD153" s="202" t="str">
        <x:f>IF(A153="","",IF(AC153=1,"OK 100%","CONFERIR"))</x:f>
      </x:c>
      <x:c r="AE153" s="142"/>
      <x:c r="AF153" s="142"/>
      <x:c r="AG153" s="142"/>
    </x:row>
    <x:row r="154" ht="19" customHeight="1">
      <x:c r="A154" s="142"/>
      <x:c r="B154" s="142"/>
      <x:c r="C154" s="142"/>
      <x:c r="D154" s="142"/>
      <x:c r="E154" s="142"/>
      <x:c r="F154" s="142"/>
      <x:c r="G154" s="142"/>
      <x:c r="H154" s="142"/>
      <x:c r="I154" s="142"/>
      <x:c r="J154" s="142"/>
      <x:c r="K154" s="142"/>
      <x:c r="L154" s="142"/>
      <x:c r="M154" s="208"/>
      <x:c r="N154" s="208"/>
      <x:c r="O154" s="142"/>
      <x:c r="P154" s="142"/>
      <x:c r="Q154" s="142"/>
      <x:c r="R154" s="142"/>
      <x:c r="S154" s="142"/>
      <x:c r="T154" s="142"/>
      <x:c r="U154" s="142"/>
      <x:c r="V154" s="220"/>
      <x:c r="W154" s="142"/>
      <x:c r="X154" s="208"/>
      <x:c r="Y154" s="208"/>
      <x:c r="Z154" s="142"/>
      <x:c r="AA154" s="142"/>
      <x:c r="AB154" s="202" t="str">
        <x:f>IF(A154="","",IF(AND(B154&lt;&gt;"",D154&lt;&gt;"",F154&lt;&gt;"",H154&lt;&gt;"",M154&lt;&gt;"",N154&lt;&gt;"",Q154&lt;&gt;"",R154&lt;&gt;"",U154&lt;&gt;"",V154&lt;&gt;"",W154&lt;&gt;""),"PRONTO","PENDENTE"))</x:f>
      </x:c>
      <x:c r="AC154" s="214" t="str">
        <x:f>IF(A154="","",SUMIF('PARTICIPAÇÕES FONOGRAMA'!$A$5:$A$254,A154,'PARTICIPAÇÕES FONOGRAMA'!$I$5:$I$254))</x:f>
      </x:c>
      <x:c r="AD154" s="202" t="str">
        <x:f>IF(A154="","",IF(AC154=1,"OK 100%","CONFERIR"))</x:f>
      </x:c>
      <x:c r="AE154" s="142"/>
      <x:c r="AF154" s="142"/>
      <x:c r="AG154" s="142"/>
    </x:row>
    <x:row r="155" ht="19" customHeight="1">
      <x:c r="A155" s="142"/>
      <x:c r="B155" s="142"/>
      <x:c r="C155" s="142"/>
      <x:c r="D155" s="142"/>
      <x:c r="E155" s="142"/>
      <x:c r="F155" s="142"/>
      <x:c r="G155" s="142"/>
      <x:c r="H155" s="142"/>
      <x:c r="I155" s="142"/>
      <x:c r="J155" s="142"/>
      <x:c r="K155" s="142"/>
      <x:c r="L155" s="142"/>
      <x:c r="M155" s="208"/>
      <x:c r="N155" s="208"/>
      <x:c r="O155" s="142"/>
      <x:c r="P155" s="142"/>
      <x:c r="Q155" s="142"/>
      <x:c r="R155" s="142"/>
      <x:c r="S155" s="142"/>
      <x:c r="T155" s="142"/>
      <x:c r="U155" s="142"/>
      <x:c r="V155" s="220"/>
      <x:c r="W155" s="142"/>
      <x:c r="X155" s="208"/>
      <x:c r="Y155" s="208"/>
      <x:c r="Z155" s="142"/>
      <x:c r="AA155" s="142"/>
      <x:c r="AB155" s="202" t="str">
        <x:f>IF(A155="","",IF(AND(B155&lt;&gt;"",D155&lt;&gt;"",F155&lt;&gt;"",H155&lt;&gt;"",M155&lt;&gt;"",N155&lt;&gt;"",Q155&lt;&gt;"",R155&lt;&gt;"",U155&lt;&gt;"",V155&lt;&gt;"",W155&lt;&gt;""),"PRONTO","PENDENTE"))</x:f>
      </x:c>
      <x:c r="AC155" s="214" t="str">
        <x:f>IF(A155="","",SUMIF('PARTICIPAÇÕES FONOGRAMA'!$A$5:$A$254,A155,'PARTICIPAÇÕES FONOGRAMA'!$I$5:$I$254))</x:f>
      </x:c>
      <x:c r="AD155" s="202" t="str">
        <x:f>IF(A155="","",IF(AC155=1,"OK 100%","CONFERIR"))</x:f>
      </x:c>
      <x:c r="AE155" s="142"/>
      <x:c r="AF155" s="142"/>
      <x:c r="AG155" s="142"/>
    </x:row>
    <x:row r="156" ht="19" customHeight="1">
      <x:c r="A156" s="142"/>
      <x:c r="B156" s="142"/>
      <x:c r="C156" s="142"/>
      <x:c r="D156" s="142"/>
      <x:c r="E156" s="142"/>
      <x:c r="F156" s="142"/>
      <x:c r="G156" s="142"/>
      <x:c r="H156" s="142"/>
      <x:c r="I156" s="142"/>
      <x:c r="J156" s="142"/>
      <x:c r="K156" s="142"/>
      <x:c r="L156" s="142"/>
      <x:c r="M156" s="208"/>
      <x:c r="N156" s="208"/>
      <x:c r="O156" s="142"/>
      <x:c r="P156" s="142"/>
      <x:c r="Q156" s="142"/>
      <x:c r="R156" s="142"/>
      <x:c r="S156" s="142"/>
      <x:c r="T156" s="142"/>
      <x:c r="U156" s="142"/>
      <x:c r="V156" s="220"/>
      <x:c r="W156" s="142"/>
      <x:c r="X156" s="208"/>
      <x:c r="Y156" s="208"/>
      <x:c r="Z156" s="142"/>
      <x:c r="AA156" s="142"/>
      <x:c r="AB156" s="202" t="str">
        <x:f>IF(A156="","",IF(AND(B156&lt;&gt;"",D156&lt;&gt;"",F156&lt;&gt;"",H156&lt;&gt;"",M156&lt;&gt;"",N156&lt;&gt;"",Q156&lt;&gt;"",R156&lt;&gt;"",U156&lt;&gt;"",V156&lt;&gt;"",W156&lt;&gt;""),"PRONTO","PENDENTE"))</x:f>
      </x:c>
      <x:c r="AC156" s="214" t="str">
        <x:f>IF(A156="","",SUMIF('PARTICIPAÇÕES FONOGRAMA'!$A$5:$A$254,A156,'PARTICIPAÇÕES FONOGRAMA'!$I$5:$I$254))</x:f>
      </x:c>
      <x:c r="AD156" s="202" t="str">
        <x:f>IF(A156="","",IF(AC156=1,"OK 100%","CONFERIR"))</x:f>
      </x:c>
      <x:c r="AE156" s="142"/>
      <x:c r="AF156" s="142"/>
      <x:c r="AG156" s="142"/>
    </x:row>
    <x:row r="157" ht="19" customHeight="1">
      <x:c r="A157" s="142"/>
      <x:c r="B157" s="142"/>
      <x:c r="C157" s="142"/>
      <x:c r="D157" s="142"/>
      <x:c r="E157" s="142"/>
      <x:c r="F157" s="142"/>
      <x:c r="G157" s="142"/>
      <x:c r="H157" s="142"/>
      <x:c r="I157" s="142"/>
      <x:c r="J157" s="142"/>
      <x:c r="K157" s="142"/>
      <x:c r="L157" s="142"/>
      <x:c r="M157" s="208"/>
      <x:c r="N157" s="208"/>
      <x:c r="O157" s="142"/>
      <x:c r="P157" s="142"/>
      <x:c r="Q157" s="142"/>
      <x:c r="R157" s="142"/>
      <x:c r="S157" s="142"/>
      <x:c r="T157" s="142"/>
      <x:c r="U157" s="142"/>
      <x:c r="V157" s="220"/>
      <x:c r="W157" s="142"/>
      <x:c r="X157" s="208"/>
      <x:c r="Y157" s="208"/>
      <x:c r="Z157" s="142"/>
      <x:c r="AA157" s="142"/>
      <x:c r="AB157" s="202" t="str">
        <x:f>IF(A157="","",IF(AND(B157&lt;&gt;"",D157&lt;&gt;"",F157&lt;&gt;"",H157&lt;&gt;"",M157&lt;&gt;"",N157&lt;&gt;"",Q157&lt;&gt;"",R157&lt;&gt;"",U157&lt;&gt;"",V157&lt;&gt;"",W157&lt;&gt;""),"PRONTO","PENDENTE"))</x:f>
      </x:c>
      <x:c r="AC157" s="214" t="str">
        <x:f>IF(A157="","",SUMIF('PARTICIPAÇÕES FONOGRAMA'!$A$5:$A$254,A157,'PARTICIPAÇÕES FONOGRAMA'!$I$5:$I$254))</x:f>
      </x:c>
      <x:c r="AD157" s="202" t="str">
        <x:f>IF(A157="","",IF(AC157=1,"OK 100%","CONFERIR"))</x:f>
      </x:c>
      <x:c r="AE157" s="142"/>
      <x:c r="AF157" s="142"/>
      <x:c r="AG157" s="142"/>
    </x:row>
    <x:row r="158" ht="19" customHeight="1">
      <x:c r="A158" s="142"/>
      <x:c r="B158" s="142"/>
      <x:c r="C158" s="142"/>
      <x:c r="D158" s="142"/>
      <x:c r="E158" s="142"/>
      <x:c r="F158" s="142"/>
      <x:c r="G158" s="142"/>
      <x:c r="H158" s="142"/>
      <x:c r="I158" s="142"/>
      <x:c r="J158" s="142"/>
      <x:c r="K158" s="142"/>
      <x:c r="L158" s="142"/>
      <x:c r="M158" s="208"/>
      <x:c r="N158" s="208"/>
      <x:c r="O158" s="142"/>
      <x:c r="P158" s="142"/>
      <x:c r="Q158" s="142"/>
      <x:c r="R158" s="142"/>
      <x:c r="S158" s="142"/>
      <x:c r="T158" s="142"/>
      <x:c r="U158" s="142"/>
      <x:c r="V158" s="220"/>
      <x:c r="W158" s="142"/>
      <x:c r="X158" s="208"/>
      <x:c r="Y158" s="208"/>
      <x:c r="Z158" s="142"/>
      <x:c r="AA158" s="142"/>
      <x:c r="AB158" s="202" t="str">
        <x:f>IF(A158="","",IF(AND(B158&lt;&gt;"",D158&lt;&gt;"",F158&lt;&gt;"",H158&lt;&gt;"",M158&lt;&gt;"",N158&lt;&gt;"",Q158&lt;&gt;"",R158&lt;&gt;"",U158&lt;&gt;"",V158&lt;&gt;"",W158&lt;&gt;""),"PRONTO","PENDENTE"))</x:f>
      </x:c>
      <x:c r="AC158" s="214" t="str">
        <x:f>IF(A158="","",SUMIF('PARTICIPAÇÕES FONOGRAMA'!$A$5:$A$254,A158,'PARTICIPAÇÕES FONOGRAMA'!$I$5:$I$254))</x:f>
      </x:c>
      <x:c r="AD158" s="202" t="str">
        <x:f>IF(A158="","",IF(AC158=1,"OK 100%","CONFERIR"))</x:f>
      </x:c>
      <x:c r="AE158" s="142"/>
      <x:c r="AF158" s="142"/>
      <x:c r="AG158" s="142"/>
    </x:row>
    <x:row r="159" ht="19" customHeight="1">
      <x:c r="A159" s="142"/>
      <x:c r="B159" s="142"/>
      <x:c r="C159" s="142"/>
      <x:c r="D159" s="142"/>
      <x:c r="E159" s="142"/>
      <x:c r="F159" s="142"/>
      <x:c r="G159" s="142"/>
      <x:c r="H159" s="142"/>
      <x:c r="I159" s="142"/>
      <x:c r="J159" s="142"/>
      <x:c r="K159" s="142"/>
      <x:c r="L159" s="142"/>
      <x:c r="M159" s="208"/>
      <x:c r="N159" s="208"/>
      <x:c r="O159" s="142"/>
      <x:c r="P159" s="142"/>
      <x:c r="Q159" s="142"/>
      <x:c r="R159" s="142"/>
      <x:c r="S159" s="142"/>
      <x:c r="T159" s="142"/>
      <x:c r="U159" s="142"/>
      <x:c r="V159" s="220"/>
      <x:c r="W159" s="142"/>
      <x:c r="X159" s="208"/>
      <x:c r="Y159" s="208"/>
      <x:c r="Z159" s="142"/>
      <x:c r="AA159" s="142"/>
      <x:c r="AB159" s="202" t="str">
        <x:f>IF(A159="","",IF(AND(B159&lt;&gt;"",D159&lt;&gt;"",F159&lt;&gt;"",H159&lt;&gt;"",M159&lt;&gt;"",N159&lt;&gt;"",Q159&lt;&gt;"",R159&lt;&gt;"",U159&lt;&gt;"",V159&lt;&gt;"",W159&lt;&gt;""),"PRONTO","PENDENTE"))</x:f>
      </x:c>
      <x:c r="AC159" s="214" t="str">
        <x:f>IF(A159="","",SUMIF('PARTICIPAÇÕES FONOGRAMA'!$A$5:$A$254,A159,'PARTICIPAÇÕES FONOGRAMA'!$I$5:$I$254))</x:f>
      </x:c>
      <x:c r="AD159" s="202" t="str">
        <x:f>IF(A159="","",IF(AC159=1,"OK 100%","CONFERIR"))</x:f>
      </x:c>
      <x:c r="AE159" s="142"/>
      <x:c r="AF159" s="142"/>
      <x:c r="AG159" s="142"/>
    </x:row>
    <x:row r="160" ht="19" customHeight="1">
      <x:c r="A160" s="142"/>
      <x:c r="B160" s="142"/>
      <x:c r="C160" s="142"/>
      <x:c r="D160" s="142"/>
      <x:c r="E160" s="142"/>
      <x:c r="F160" s="142"/>
      <x:c r="G160" s="142"/>
      <x:c r="H160" s="142"/>
      <x:c r="I160" s="142"/>
      <x:c r="J160" s="142"/>
      <x:c r="K160" s="142"/>
      <x:c r="L160" s="142"/>
      <x:c r="M160" s="208"/>
      <x:c r="N160" s="208"/>
      <x:c r="O160" s="142"/>
      <x:c r="P160" s="142"/>
      <x:c r="Q160" s="142"/>
      <x:c r="R160" s="142"/>
      <x:c r="S160" s="142"/>
      <x:c r="T160" s="142"/>
      <x:c r="U160" s="142"/>
      <x:c r="V160" s="220"/>
      <x:c r="W160" s="142"/>
      <x:c r="X160" s="208"/>
      <x:c r="Y160" s="208"/>
      <x:c r="Z160" s="142"/>
      <x:c r="AA160" s="142"/>
      <x:c r="AB160" s="202" t="str">
        <x:f>IF(A160="","",IF(AND(B160&lt;&gt;"",D160&lt;&gt;"",F160&lt;&gt;"",H160&lt;&gt;"",M160&lt;&gt;"",N160&lt;&gt;"",Q160&lt;&gt;"",R160&lt;&gt;"",U160&lt;&gt;"",V160&lt;&gt;"",W160&lt;&gt;""),"PRONTO","PENDENTE"))</x:f>
      </x:c>
      <x:c r="AC160" s="214" t="str">
        <x:f>IF(A160="","",SUMIF('PARTICIPAÇÕES FONOGRAMA'!$A$5:$A$254,A160,'PARTICIPAÇÕES FONOGRAMA'!$I$5:$I$254))</x:f>
      </x:c>
      <x:c r="AD160" s="202" t="str">
        <x:f>IF(A160="","",IF(AC160=1,"OK 100%","CONFERIR"))</x:f>
      </x:c>
      <x:c r="AE160" s="142"/>
      <x:c r="AF160" s="142"/>
      <x:c r="AG160" s="142"/>
    </x:row>
    <x:row r="161" ht="19" customHeight="1">
      <x:c r="A161" s="142"/>
      <x:c r="B161" s="142"/>
      <x:c r="C161" s="142"/>
      <x:c r="D161" s="142"/>
      <x:c r="E161" s="142"/>
      <x:c r="F161" s="142"/>
      <x:c r="G161" s="142"/>
      <x:c r="H161" s="142"/>
      <x:c r="I161" s="142"/>
      <x:c r="J161" s="142"/>
      <x:c r="K161" s="142"/>
      <x:c r="L161" s="142"/>
      <x:c r="M161" s="208"/>
      <x:c r="N161" s="208"/>
      <x:c r="O161" s="142"/>
      <x:c r="P161" s="142"/>
      <x:c r="Q161" s="142"/>
      <x:c r="R161" s="142"/>
      <x:c r="S161" s="142"/>
      <x:c r="T161" s="142"/>
      <x:c r="U161" s="142"/>
      <x:c r="V161" s="220"/>
      <x:c r="W161" s="142"/>
      <x:c r="X161" s="208"/>
      <x:c r="Y161" s="208"/>
      <x:c r="Z161" s="142"/>
      <x:c r="AA161" s="142"/>
      <x:c r="AB161" s="202" t="str">
        <x:f>IF(A161="","",IF(AND(B161&lt;&gt;"",D161&lt;&gt;"",F161&lt;&gt;"",H161&lt;&gt;"",M161&lt;&gt;"",N161&lt;&gt;"",Q161&lt;&gt;"",R161&lt;&gt;"",U161&lt;&gt;"",V161&lt;&gt;"",W161&lt;&gt;""),"PRONTO","PENDENTE"))</x:f>
      </x:c>
      <x:c r="AC161" s="214" t="str">
        <x:f>IF(A161="","",SUMIF('PARTICIPAÇÕES FONOGRAMA'!$A$5:$A$254,A161,'PARTICIPAÇÕES FONOGRAMA'!$I$5:$I$254))</x:f>
      </x:c>
      <x:c r="AD161" s="202" t="str">
        <x:f>IF(A161="","",IF(AC161=1,"OK 100%","CONFERIR"))</x:f>
      </x:c>
      <x:c r="AE161" s="142"/>
      <x:c r="AF161" s="142"/>
      <x:c r="AG161" s="142"/>
    </x:row>
    <x:row r="162" ht="19" customHeight="1">
      <x:c r="A162" s="142"/>
      <x:c r="B162" s="142"/>
      <x:c r="C162" s="142"/>
      <x:c r="D162" s="142"/>
      <x:c r="E162" s="142"/>
      <x:c r="F162" s="142"/>
      <x:c r="G162" s="142"/>
      <x:c r="H162" s="142"/>
      <x:c r="I162" s="142"/>
      <x:c r="J162" s="142"/>
      <x:c r="K162" s="142"/>
      <x:c r="L162" s="142"/>
      <x:c r="M162" s="208"/>
      <x:c r="N162" s="208"/>
      <x:c r="O162" s="142"/>
      <x:c r="P162" s="142"/>
      <x:c r="Q162" s="142"/>
      <x:c r="R162" s="142"/>
      <x:c r="S162" s="142"/>
      <x:c r="T162" s="142"/>
      <x:c r="U162" s="142"/>
      <x:c r="V162" s="220"/>
      <x:c r="W162" s="142"/>
      <x:c r="X162" s="208"/>
      <x:c r="Y162" s="208"/>
      <x:c r="Z162" s="142"/>
      <x:c r="AA162" s="142"/>
      <x:c r="AB162" s="202" t="str">
        <x:f>IF(A162="","",IF(AND(B162&lt;&gt;"",D162&lt;&gt;"",F162&lt;&gt;"",H162&lt;&gt;"",M162&lt;&gt;"",N162&lt;&gt;"",Q162&lt;&gt;"",R162&lt;&gt;"",U162&lt;&gt;"",V162&lt;&gt;"",W162&lt;&gt;""),"PRONTO","PENDENTE"))</x:f>
      </x:c>
      <x:c r="AC162" s="214" t="str">
        <x:f>IF(A162="","",SUMIF('PARTICIPAÇÕES FONOGRAMA'!$A$5:$A$254,A162,'PARTICIPAÇÕES FONOGRAMA'!$I$5:$I$254))</x:f>
      </x:c>
      <x:c r="AD162" s="202" t="str">
        <x:f>IF(A162="","",IF(AC162=1,"OK 100%","CONFERIR"))</x:f>
      </x:c>
      <x:c r="AE162" s="142"/>
      <x:c r="AF162" s="142"/>
      <x:c r="AG162" s="142"/>
    </x:row>
    <x:row r="163" ht="19" customHeight="1">
      <x:c r="A163" s="142"/>
      <x:c r="B163" s="142"/>
      <x:c r="C163" s="142"/>
      <x:c r="D163" s="142"/>
      <x:c r="E163" s="142"/>
      <x:c r="F163" s="142"/>
      <x:c r="G163" s="142"/>
      <x:c r="H163" s="142"/>
      <x:c r="I163" s="142"/>
      <x:c r="J163" s="142"/>
      <x:c r="K163" s="142"/>
      <x:c r="L163" s="142"/>
      <x:c r="M163" s="208"/>
      <x:c r="N163" s="208"/>
      <x:c r="O163" s="142"/>
      <x:c r="P163" s="142"/>
      <x:c r="Q163" s="142"/>
      <x:c r="R163" s="142"/>
      <x:c r="S163" s="142"/>
      <x:c r="T163" s="142"/>
      <x:c r="U163" s="142"/>
      <x:c r="V163" s="220"/>
      <x:c r="W163" s="142"/>
      <x:c r="X163" s="208"/>
      <x:c r="Y163" s="208"/>
      <x:c r="Z163" s="142"/>
      <x:c r="AA163" s="142"/>
      <x:c r="AB163" s="202" t="str">
        <x:f>IF(A163="","",IF(AND(B163&lt;&gt;"",D163&lt;&gt;"",F163&lt;&gt;"",H163&lt;&gt;"",M163&lt;&gt;"",N163&lt;&gt;"",Q163&lt;&gt;"",R163&lt;&gt;"",U163&lt;&gt;"",V163&lt;&gt;"",W163&lt;&gt;""),"PRONTO","PENDENTE"))</x:f>
      </x:c>
      <x:c r="AC163" s="214" t="str">
        <x:f>IF(A163="","",SUMIF('PARTICIPAÇÕES FONOGRAMA'!$A$5:$A$254,A163,'PARTICIPAÇÕES FONOGRAMA'!$I$5:$I$254))</x:f>
      </x:c>
      <x:c r="AD163" s="202" t="str">
        <x:f>IF(A163="","",IF(AC163=1,"OK 100%","CONFERIR"))</x:f>
      </x:c>
      <x:c r="AE163" s="142"/>
      <x:c r="AF163" s="142"/>
      <x:c r="AG163" s="142"/>
    </x:row>
    <x:row r="164" ht="19" customHeight="1">
      <x:c r="A164" s="142"/>
      <x:c r="B164" s="142"/>
      <x:c r="C164" s="142"/>
      <x:c r="D164" s="142"/>
      <x:c r="E164" s="142"/>
      <x:c r="F164" s="142"/>
      <x:c r="G164" s="142"/>
      <x:c r="H164" s="142"/>
      <x:c r="I164" s="142"/>
      <x:c r="J164" s="142"/>
      <x:c r="K164" s="142"/>
      <x:c r="L164" s="142"/>
      <x:c r="M164" s="208"/>
      <x:c r="N164" s="208"/>
      <x:c r="O164" s="142"/>
      <x:c r="P164" s="142"/>
      <x:c r="Q164" s="142"/>
      <x:c r="R164" s="142"/>
      <x:c r="S164" s="142"/>
      <x:c r="T164" s="142"/>
      <x:c r="U164" s="142"/>
      <x:c r="V164" s="220"/>
      <x:c r="W164" s="142"/>
      <x:c r="X164" s="208"/>
      <x:c r="Y164" s="208"/>
      <x:c r="Z164" s="142"/>
      <x:c r="AA164" s="142"/>
      <x:c r="AB164" s="202" t="str">
        <x:f>IF(A164="","",IF(AND(B164&lt;&gt;"",D164&lt;&gt;"",F164&lt;&gt;"",H164&lt;&gt;"",M164&lt;&gt;"",N164&lt;&gt;"",Q164&lt;&gt;"",R164&lt;&gt;"",U164&lt;&gt;"",V164&lt;&gt;"",W164&lt;&gt;""),"PRONTO","PENDENTE"))</x:f>
      </x:c>
      <x:c r="AC164" s="214" t="str">
        <x:f>IF(A164="","",SUMIF('PARTICIPAÇÕES FONOGRAMA'!$A$5:$A$254,A164,'PARTICIPAÇÕES FONOGRAMA'!$I$5:$I$254))</x:f>
      </x:c>
      <x:c r="AD164" s="202" t="str">
        <x:f>IF(A164="","",IF(AC164=1,"OK 100%","CONFERIR"))</x:f>
      </x:c>
      <x:c r="AE164" s="142"/>
      <x:c r="AF164" s="142"/>
      <x:c r="AG164" s="142"/>
    </x:row>
    <x:row r="165" ht="19" customHeight="1">
      <x:c r="A165" s="142"/>
      <x:c r="B165" s="142"/>
      <x:c r="C165" s="142"/>
      <x:c r="D165" s="142"/>
      <x:c r="E165" s="142"/>
      <x:c r="F165" s="142"/>
      <x:c r="G165" s="142"/>
      <x:c r="H165" s="142"/>
      <x:c r="I165" s="142"/>
      <x:c r="J165" s="142"/>
      <x:c r="K165" s="142"/>
      <x:c r="L165" s="142"/>
      <x:c r="M165" s="208"/>
      <x:c r="N165" s="208"/>
      <x:c r="O165" s="142"/>
      <x:c r="P165" s="142"/>
      <x:c r="Q165" s="142"/>
      <x:c r="R165" s="142"/>
      <x:c r="S165" s="142"/>
      <x:c r="T165" s="142"/>
      <x:c r="U165" s="142"/>
      <x:c r="V165" s="220"/>
      <x:c r="W165" s="142"/>
      <x:c r="X165" s="208"/>
      <x:c r="Y165" s="208"/>
      <x:c r="Z165" s="142"/>
      <x:c r="AA165" s="142"/>
      <x:c r="AB165" s="202" t="str">
        <x:f>IF(A165="","",IF(AND(B165&lt;&gt;"",D165&lt;&gt;"",F165&lt;&gt;"",H165&lt;&gt;"",M165&lt;&gt;"",N165&lt;&gt;"",Q165&lt;&gt;"",R165&lt;&gt;"",U165&lt;&gt;"",V165&lt;&gt;"",W165&lt;&gt;""),"PRONTO","PENDENTE"))</x:f>
      </x:c>
      <x:c r="AC165" s="214" t="str">
        <x:f>IF(A165="","",SUMIF('PARTICIPAÇÕES FONOGRAMA'!$A$5:$A$254,A165,'PARTICIPAÇÕES FONOGRAMA'!$I$5:$I$254))</x:f>
      </x:c>
      <x:c r="AD165" s="202" t="str">
        <x:f>IF(A165="","",IF(AC165=1,"OK 100%","CONFERIR"))</x:f>
      </x:c>
      <x:c r="AE165" s="142"/>
      <x:c r="AF165" s="142"/>
      <x:c r="AG165" s="142"/>
    </x:row>
    <x:row r="166" ht="19" customHeight="1">
      <x:c r="A166" s="142"/>
      <x:c r="B166" s="142"/>
      <x:c r="C166" s="142"/>
      <x:c r="D166" s="142"/>
      <x:c r="E166" s="142"/>
      <x:c r="F166" s="142"/>
      <x:c r="G166" s="142"/>
      <x:c r="H166" s="142"/>
      <x:c r="I166" s="142"/>
      <x:c r="J166" s="142"/>
      <x:c r="K166" s="142"/>
      <x:c r="L166" s="142"/>
      <x:c r="M166" s="208"/>
      <x:c r="N166" s="208"/>
      <x:c r="O166" s="142"/>
      <x:c r="P166" s="142"/>
      <x:c r="Q166" s="142"/>
      <x:c r="R166" s="142"/>
      <x:c r="S166" s="142"/>
      <x:c r="T166" s="142"/>
      <x:c r="U166" s="142"/>
      <x:c r="V166" s="220"/>
      <x:c r="W166" s="142"/>
      <x:c r="X166" s="208"/>
      <x:c r="Y166" s="208"/>
      <x:c r="Z166" s="142"/>
      <x:c r="AA166" s="142"/>
      <x:c r="AB166" s="202" t="str">
        <x:f>IF(A166="","",IF(AND(B166&lt;&gt;"",D166&lt;&gt;"",F166&lt;&gt;"",H166&lt;&gt;"",M166&lt;&gt;"",N166&lt;&gt;"",Q166&lt;&gt;"",R166&lt;&gt;"",U166&lt;&gt;"",V166&lt;&gt;"",W166&lt;&gt;""),"PRONTO","PENDENTE"))</x:f>
      </x:c>
      <x:c r="AC166" s="214" t="str">
        <x:f>IF(A166="","",SUMIF('PARTICIPAÇÕES FONOGRAMA'!$A$5:$A$254,A166,'PARTICIPAÇÕES FONOGRAMA'!$I$5:$I$254))</x:f>
      </x:c>
      <x:c r="AD166" s="202" t="str">
        <x:f>IF(A166="","",IF(AC166=1,"OK 100%","CONFERIR"))</x:f>
      </x:c>
      <x:c r="AE166" s="142"/>
      <x:c r="AF166" s="142"/>
      <x:c r="AG166" s="142"/>
    </x:row>
    <x:row r="167" ht="19" customHeight="1">
      <x:c r="A167" s="142"/>
      <x:c r="B167" s="142"/>
      <x:c r="C167" s="142"/>
      <x:c r="D167" s="142"/>
      <x:c r="E167" s="142"/>
      <x:c r="F167" s="142"/>
      <x:c r="G167" s="142"/>
      <x:c r="H167" s="142"/>
      <x:c r="I167" s="142"/>
      <x:c r="J167" s="142"/>
      <x:c r="K167" s="142"/>
      <x:c r="L167" s="142"/>
      <x:c r="M167" s="208"/>
      <x:c r="N167" s="208"/>
      <x:c r="O167" s="142"/>
      <x:c r="P167" s="142"/>
      <x:c r="Q167" s="142"/>
      <x:c r="R167" s="142"/>
      <x:c r="S167" s="142"/>
      <x:c r="T167" s="142"/>
      <x:c r="U167" s="142"/>
      <x:c r="V167" s="220"/>
      <x:c r="W167" s="142"/>
      <x:c r="X167" s="208"/>
      <x:c r="Y167" s="208"/>
      <x:c r="Z167" s="142"/>
      <x:c r="AA167" s="142"/>
      <x:c r="AB167" s="202" t="str">
        <x:f>IF(A167="","",IF(AND(B167&lt;&gt;"",D167&lt;&gt;"",F167&lt;&gt;"",H167&lt;&gt;"",M167&lt;&gt;"",N167&lt;&gt;"",Q167&lt;&gt;"",R167&lt;&gt;"",U167&lt;&gt;"",V167&lt;&gt;"",W167&lt;&gt;""),"PRONTO","PENDENTE"))</x:f>
      </x:c>
      <x:c r="AC167" s="214" t="str">
        <x:f>IF(A167="","",SUMIF('PARTICIPAÇÕES FONOGRAMA'!$A$5:$A$254,A167,'PARTICIPAÇÕES FONOGRAMA'!$I$5:$I$254))</x:f>
      </x:c>
      <x:c r="AD167" s="202" t="str">
        <x:f>IF(A167="","",IF(AC167=1,"OK 100%","CONFERIR"))</x:f>
      </x:c>
      <x:c r="AE167" s="142"/>
      <x:c r="AF167" s="142"/>
      <x:c r="AG167" s="142"/>
    </x:row>
    <x:row r="168" ht="19" customHeight="1">
      <x:c r="A168" s="142"/>
      <x:c r="B168" s="142"/>
      <x:c r="C168" s="142"/>
      <x:c r="D168" s="142"/>
      <x:c r="E168" s="142"/>
      <x:c r="F168" s="142"/>
      <x:c r="G168" s="142"/>
      <x:c r="H168" s="142"/>
      <x:c r="I168" s="142"/>
      <x:c r="J168" s="142"/>
      <x:c r="K168" s="142"/>
      <x:c r="L168" s="142"/>
      <x:c r="M168" s="208"/>
      <x:c r="N168" s="208"/>
      <x:c r="O168" s="142"/>
      <x:c r="P168" s="142"/>
      <x:c r="Q168" s="142"/>
      <x:c r="R168" s="142"/>
      <x:c r="S168" s="142"/>
      <x:c r="T168" s="142"/>
      <x:c r="U168" s="142"/>
      <x:c r="V168" s="220"/>
      <x:c r="W168" s="142"/>
      <x:c r="X168" s="208"/>
      <x:c r="Y168" s="208"/>
      <x:c r="Z168" s="142"/>
      <x:c r="AA168" s="142"/>
      <x:c r="AB168" s="202" t="str">
        <x:f>IF(A168="","",IF(AND(B168&lt;&gt;"",D168&lt;&gt;"",F168&lt;&gt;"",H168&lt;&gt;"",M168&lt;&gt;"",N168&lt;&gt;"",Q168&lt;&gt;"",R168&lt;&gt;"",U168&lt;&gt;"",V168&lt;&gt;"",W168&lt;&gt;""),"PRONTO","PENDENTE"))</x:f>
      </x:c>
      <x:c r="AC168" s="214" t="str">
        <x:f>IF(A168="","",SUMIF('PARTICIPAÇÕES FONOGRAMA'!$A$5:$A$254,A168,'PARTICIPAÇÕES FONOGRAMA'!$I$5:$I$254))</x:f>
      </x:c>
      <x:c r="AD168" s="202" t="str">
        <x:f>IF(A168="","",IF(AC168=1,"OK 100%","CONFERIR"))</x:f>
      </x:c>
      <x:c r="AE168" s="142"/>
      <x:c r="AF168" s="142"/>
      <x:c r="AG168" s="142"/>
    </x:row>
    <x:row r="169" ht="19" customHeight="1">
      <x:c r="A169" s="142"/>
      <x:c r="B169" s="142"/>
      <x:c r="C169" s="142"/>
      <x:c r="D169" s="142"/>
      <x:c r="E169" s="142"/>
      <x:c r="F169" s="142"/>
      <x:c r="G169" s="142"/>
      <x:c r="H169" s="142"/>
      <x:c r="I169" s="142"/>
      <x:c r="J169" s="142"/>
      <x:c r="K169" s="142"/>
      <x:c r="L169" s="142"/>
      <x:c r="M169" s="208"/>
      <x:c r="N169" s="208"/>
      <x:c r="O169" s="142"/>
      <x:c r="P169" s="142"/>
      <x:c r="Q169" s="142"/>
      <x:c r="R169" s="142"/>
      <x:c r="S169" s="142"/>
      <x:c r="T169" s="142"/>
      <x:c r="U169" s="142"/>
      <x:c r="V169" s="220"/>
      <x:c r="W169" s="142"/>
      <x:c r="X169" s="208"/>
      <x:c r="Y169" s="208"/>
      <x:c r="Z169" s="142"/>
      <x:c r="AA169" s="142"/>
      <x:c r="AB169" s="202" t="str">
        <x:f>IF(A169="","",IF(AND(B169&lt;&gt;"",D169&lt;&gt;"",F169&lt;&gt;"",H169&lt;&gt;"",M169&lt;&gt;"",N169&lt;&gt;"",Q169&lt;&gt;"",R169&lt;&gt;"",U169&lt;&gt;"",V169&lt;&gt;"",W169&lt;&gt;""),"PRONTO","PENDENTE"))</x:f>
      </x:c>
      <x:c r="AC169" s="214" t="str">
        <x:f>IF(A169="","",SUMIF('PARTICIPAÇÕES FONOGRAMA'!$A$5:$A$254,A169,'PARTICIPAÇÕES FONOGRAMA'!$I$5:$I$254))</x:f>
      </x:c>
      <x:c r="AD169" s="202" t="str">
        <x:f>IF(A169="","",IF(AC169=1,"OK 100%","CONFERIR"))</x:f>
      </x:c>
      <x:c r="AE169" s="142"/>
      <x:c r="AF169" s="142"/>
      <x:c r="AG169" s="142"/>
    </x:row>
    <x:row r="170" ht="19" customHeight="1">
      <x:c r="A170" s="142"/>
      <x:c r="B170" s="142"/>
      <x:c r="C170" s="142"/>
      <x:c r="D170" s="142"/>
      <x:c r="E170" s="142"/>
      <x:c r="F170" s="142"/>
      <x:c r="G170" s="142"/>
      <x:c r="H170" s="142"/>
      <x:c r="I170" s="142"/>
      <x:c r="J170" s="142"/>
      <x:c r="K170" s="142"/>
      <x:c r="L170" s="142"/>
      <x:c r="M170" s="208"/>
      <x:c r="N170" s="208"/>
      <x:c r="O170" s="142"/>
      <x:c r="P170" s="142"/>
      <x:c r="Q170" s="142"/>
      <x:c r="R170" s="142"/>
      <x:c r="S170" s="142"/>
      <x:c r="T170" s="142"/>
      <x:c r="U170" s="142"/>
      <x:c r="V170" s="220"/>
      <x:c r="W170" s="142"/>
      <x:c r="X170" s="208"/>
      <x:c r="Y170" s="208"/>
      <x:c r="Z170" s="142"/>
      <x:c r="AA170" s="142"/>
      <x:c r="AB170" s="202" t="str">
        <x:f>IF(A170="","",IF(AND(B170&lt;&gt;"",D170&lt;&gt;"",F170&lt;&gt;"",H170&lt;&gt;"",M170&lt;&gt;"",N170&lt;&gt;"",Q170&lt;&gt;"",R170&lt;&gt;"",U170&lt;&gt;"",V170&lt;&gt;"",W170&lt;&gt;""),"PRONTO","PENDENTE"))</x:f>
      </x:c>
      <x:c r="AC170" s="214" t="str">
        <x:f>IF(A170="","",SUMIF('PARTICIPAÇÕES FONOGRAMA'!$A$5:$A$254,A170,'PARTICIPAÇÕES FONOGRAMA'!$I$5:$I$254))</x:f>
      </x:c>
      <x:c r="AD170" s="202" t="str">
        <x:f>IF(A170="","",IF(AC170=1,"OK 100%","CONFERIR"))</x:f>
      </x:c>
      <x:c r="AE170" s="142"/>
      <x:c r="AF170" s="142"/>
      <x:c r="AG170" s="142"/>
    </x:row>
    <x:row r="171" ht="19" customHeight="1">
      <x:c r="A171" s="142"/>
      <x:c r="B171" s="142"/>
      <x:c r="C171" s="142"/>
      <x:c r="D171" s="142"/>
      <x:c r="E171" s="142"/>
      <x:c r="F171" s="142"/>
      <x:c r="G171" s="142"/>
      <x:c r="H171" s="142"/>
      <x:c r="I171" s="142"/>
      <x:c r="J171" s="142"/>
      <x:c r="K171" s="142"/>
      <x:c r="L171" s="142"/>
      <x:c r="M171" s="208"/>
      <x:c r="N171" s="208"/>
      <x:c r="O171" s="142"/>
      <x:c r="P171" s="142"/>
      <x:c r="Q171" s="142"/>
      <x:c r="R171" s="142"/>
      <x:c r="S171" s="142"/>
      <x:c r="T171" s="142"/>
      <x:c r="U171" s="142"/>
      <x:c r="V171" s="220"/>
      <x:c r="W171" s="142"/>
      <x:c r="X171" s="208"/>
      <x:c r="Y171" s="208"/>
      <x:c r="Z171" s="142"/>
      <x:c r="AA171" s="142"/>
      <x:c r="AB171" s="202" t="str">
        <x:f>IF(A171="","",IF(AND(B171&lt;&gt;"",D171&lt;&gt;"",F171&lt;&gt;"",H171&lt;&gt;"",M171&lt;&gt;"",N171&lt;&gt;"",Q171&lt;&gt;"",R171&lt;&gt;"",U171&lt;&gt;"",V171&lt;&gt;"",W171&lt;&gt;""),"PRONTO","PENDENTE"))</x:f>
      </x:c>
      <x:c r="AC171" s="214" t="str">
        <x:f>IF(A171="","",SUMIF('PARTICIPAÇÕES FONOGRAMA'!$A$5:$A$254,A171,'PARTICIPAÇÕES FONOGRAMA'!$I$5:$I$254))</x:f>
      </x:c>
      <x:c r="AD171" s="202" t="str">
        <x:f>IF(A171="","",IF(AC171=1,"OK 100%","CONFERIR"))</x:f>
      </x:c>
      <x:c r="AE171" s="142"/>
      <x:c r="AF171" s="142"/>
      <x:c r="AG171" s="142"/>
    </x:row>
    <x:row r="172" ht="19" customHeight="1">
      <x:c r="A172" s="142"/>
      <x:c r="B172" s="142"/>
      <x:c r="C172" s="142"/>
      <x:c r="D172" s="142"/>
      <x:c r="E172" s="142"/>
      <x:c r="F172" s="142"/>
      <x:c r="G172" s="142"/>
      <x:c r="H172" s="142"/>
      <x:c r="I172" s="142"/>
      <x:c r="J172" s="142"/>
      <x:c r="K172" s="142"/>
      <x:c r="L172" s="142"/>
      <x:c r="M172" s="208"/>
      <x:c r="N172" s="208"/>
      <x:c r="O172" s="142"/>
      <x:c r="P172" s="142"/>
      <x:c r="Q172" s="142"/>
      <x:c r="R172" s="142"/>
      <x:c r="S172" s="142"/>
      <x:c r="T172" s="142"/>
      <x:c r="U172" s="142"/>
      <x:c r="V172" s="220"/>
      <x:c r="W172" s="142"/>
      <x:c r="X172" s="208"/>
      <x:c r="Y172" s="208"/>
      <x:c r="Z172" s="142"/>
      <x:c r="AA172" s="142"/>
      <x:c r="AB172" s="202" t="str">
        <x:f>IF(A172="","",IF(AND(B172&lt;&gt;"",D172&lt;&gt;"",F172&lt;&gt;"",H172&lt;&gt;"",M172&lt;&gt;"",N172&lt;&gt;"",Q172&lt;&gt;"",R172&lt;&gt;"",U172&lt;&gt;"",V172&lt;&gt;"",W172&lt;&gt;""),"PRONTO","PENDENTE"))</x:f>
      </x:c>
      <x:c r="AC172" s="214" t="str">
        <x:f>IF(A172="","",SUMIF('PARTICIPAÇÕES FONOGRAMA'!$A$5:$A$254,A172,'PARTICIPAÇÕES FONOGRAMA'!$I$5:$I$254))</x:f>
      </x:c>
      <x:c r="AD172" s="202" t="str">
        <x:f>IF(A172="","",IF(AC172=1,"OK 100%","CONFERIR"))</x:f>
      </x:c>
      <x:c r="AE172" s="142"/>
      <x:c r="AF172" s="142"/>
      <x:c r="AG172" s="142"/>
    </x:row>
    <x:row r="173" ht="19" customHeight="1">
      <x:c r="A173" s="142"/>
      <x:c r="B173" s="142"/>
      <x:c r="C173" s="142"/>
      <x:c r="D173" s="142"/>
      <x:c r="E173" s="142"/>
      <x:c r="F173" s="142"/>
      <x:c r="G173" s="142"/>
      <x:c r="H173" s="142"/>
      <x:c r="I173" s="142"/>
      <x:c r="J173" s="142"/>
      <x:c r="K173" s="142"/>
      <x:c r="L173" s="142"/>
      <x:c r="M173" s="208"/>
      <x:c r="N173" s="208"/>
      <x:c r="O173" s="142"/>
      <x:c r="P173" s="142"/>
      <x:c r="Q173" s="142"/>
      <x:c r="R173" s="142"/>
      <x:c r="S173" s="142"/>
      <x:c r="T173" s="142"/>
      <x:c r="U173" s="142"/>
      <x:c r="V173" s="220"/>
      <x:c r="W173" s="142"/>
      <x:c r="X173" s="208"/>
      <x:c r="Y173" s="208"/>
      <x:c r="Z173" s="142"/>
      <x:c r="AA173" s="142"/>
      <x:c r="AB173" s="202" t="str">
        <x:f>IF(A173="","",IF(AND(B173&lt;&gt;"",D173&lt;&gt;"",F173&lt;&gt;"",H173&lt;&gt;"",M173&lt;&gt;"",N173&lt;&gt;"",Q173&lt;&gt;"",R173&lt;&gt;"",U173&lt;&gt;"",V173&lt;&gt;"",W173&lt;&gt;""),"PRONTO","PENDENTE"))</x:f>
      </x:c>
      <x:c r="AC173" s="214" t="str">
        <x:f>IF(A173="","",SUMIF('PARTICIPAÇÕES FONOGRAMA'!$A$5:$A$254,A173,'PARTICIPAÇÕES FONOGRAMA'!$I$5:$I$254))</x:f>
      </x:c>
      <x:c r="AD173" s="202" t="str">
        <x:f>IF(A173="","",IF(AC173=1,"OK 100%","CONFERIR"))</x:f>
      </x:c>
      <x:c r="AE173" s="142"/>
      <x:c r="AF173" s="142"/>
      <x:c r="AG173" s="142"/>
    </x:row>
    <x:row r="174" ht="19" customHeight="1">
      <x:c r="A174" s="142"/>
      <x:c r="B174" s="142"/>
      <x:c r="C174" s="142"/>
      <x:c r="D174" s="142"/>
      <x:c r="E174" s="142"/>
      <x:c r="F174" s="142"/>
      <x:c r="G174" s="142"/>
      <x:c r="H174" s="142"/>
      <x:c r="I174" s="142"/>
      <x:c r="J174" s="142"/>
      <x:c r="K174" s="142"/>
      <x:c r="L174" s="142"/>
      <x:c r="M174" s="208"/>
      <x:c r="N174" s="208"/>
      <x:c r="O174" s="142"/>
      <x:c r="P174" s="142"/>
      <x:c r="Q174" s="142"/>
      <x:c r="R174" s="142"/>
      <x:c r="S174" s="142"/>
      <x:c r="T174" s="142"/>
      <x:c r="U174" s="142"/>
      <x:c r="V174" s="220"/>
      <x:c r="W174" s="142"/>
      <x:c r="X174" s="208"/>
      <x:c r="Y174" s="208"/>
      <x:c r="Z174" s="142"/>
      <x:c r="AA174" s="142"/>
      <x:c r="AB174" s="202" t="str">
        <x:f>IF(A174="","",IF(AND(B174&lt;&gt;"",D174&lt;&gt;"",F174&lt;&gt;"",H174&lt;&gt;"",M174&lt;&gt;"",N174&lt;&gt;"",Q174&lt;&gt;"",R174&lt;&gt;"",U174&lt;&gt;"",V174&lt;&gt;"",W174&lt;&gt;""),"PRONTO","PENDENTE"))</x:f>
      </x:c>
      <x:c r="AC174" s="214" t="str">
        <x:f>IF(A174="","",SUMIF('PARTICIPAÇÕES FONOGRAMA'!$A$5:$A$254,A174,'PARTICIPAÇÕES FONOGRAMA'!$I$5:$I$254))</x:f>
      </x:c>
      <x:c r="AD174" s="202" t="str">
        <x:f>IF(A174="","",IF(AC174=1,"OK 100%","CONFERIR"))</x:f>
      </x:c>
      <x:c r="AE174" s="142"/>
      <x:c r="AF174" s="142"/>
      <x:c r="AG174" s="142"/>
    </x:row>
    <x:row r="175" ht="19" customHeight="1">
      <x:c r="A175" s="142"/>
      <x:c r="B175" s="142"/>
      <x:c r="C175" s="142"/>
      <x:c r="D175" s="142"/>
      <x:c r="E175" s="142"/>
      <x:c r="F175" s="142"/>
      <x:c r="G175" s="142"/>
      <x:c r="H175" s="142"/>
      <x:c r="I175" s="142"/>
      <x:c r="J175" s="142"/>
      <x:c r="K175" s="142"/>
      <x:c r="L175" s="142"/>
      <x:c r="M175" s="208"/>
      <x:c r="N175" s="208"/>
      <x:c r="O175" s="142"/>
      <x:c r="P175" s="142"/>
      <x:c r="Q175" s="142"/>
      <x:c r="R175" s="142"/>
      <x:c r="S175" s="142"/>
      <x:c r="T175" s="142"/>
      <x:c r="U175" s="142"/>
      <x:c r="V175" s="220"/>
      <x:c r="W175" s="142"/>
      <x:c r="X175" s="208"/>
      <x:c r="Y175" s="208"/>
      <x:c r="Z175" s="142"/>
      <x:c r="AA175" s="142"/>
      <x:c r="AB175" s="202" t="str">
        <x:f>IF(A175="","",IF(AND(B175&lt;&gt;"",D175&lt;&gt;"",F175&lt;&gt;"",H175&lt;&gt;"",M175&lt;&gt;"",N175&lt;&gt;"",Q175&lt;&gt;"",R175&lt;&gt;"",U175&lt;&gt;"",V175&lt;&gt;"",W175&lt;&gt;""),"PRONTO","PENDENTE"))</x:f>
      </x:c>
      <x:c r="AC175" s="214" t="str">
        <x:f>IF(A175="","",SUMIF('PARTICIPAÇÕES FONOGRAMA'!$A$5:$A$254,A175,'PARTICIPAÇÕES FONOGRAMA'!$I$5:$I$254))</x:f>
      </x:c>
      <x:c r="AD175" s="202" t="str">
        <x:f>IF(A175="","",IF(AC175=1,"OK 100%","CONFERIR"))</x:f>
      </x:c>
      <x:c r="AE175" s="142"/>
      <x:c r="AF175" s="142"/>
      <x:c r="AG175" s="142"/>
    </x:row>
    <x:row r="176" ht="19" customHeight="1">
      <x:c r="A176" s="142"/>
      <x:c r="B176" s="142"/>
      <x:c r="C176" s="142"/>
      <x:c r="D176" s="142"/>
      <x:c r="E176" s="142"/>
      <x:c r="F176" s="142"/>
      <x:c r="G176" s="142"/>
      <x:c r="H176" s="142"/>
      <x:c r="I176" s="142"/>
      <x:c r="J176" s="142"/>
      <x:c r="K176" s="142"/>
      <x:c r="L176" s="142"/>
      <x:c r="M176" s="208"/>
      <x:c r="N176" s="208"/>
      <x:c r="O176" s="142"/>
      <x:c r="P176" s="142"/>
      <x:c r="Q176" s="142"/>
      <x:c r="R176" s="142"/>
      <x:c r="S176" s="142"/>
      <x:c r="T176" s="142"/>
      <x:c r="U176" s="142"/>
      <x:c r="V176" s="220"/>
      <x:c r="W176" s="142"/>
      <x:c r="X176" s="208"/>
      <x:c r="Y176" s="208"/>
      <x:c r="Z176" s="142"/>
      <x:c r="AA176" s="142"/>
      <x:c r="AB176" s="202" t="str">
        <x:f>IF(A176="","",IF(AND(B176&lt;&gt;"",D176&lt;&gt;"",F176&lt;&gt;"",H176&lt;&gt;"",M176&lt;&gt;"",N176&lt;&gt;"",Q176&lt;&gt;"",R176&lt;&gt;"",U176&lt;&gt;"",V176&lt;&gt;"",W176&lt;&gt;""),"PRONTO","PENDENTE"))</x:f>
      </x:c>
      <x:c r="AC176" s="214" t="str">
        <x:f>IF(A176="","",SUMIF('PARTICIPAÇÕES FONOGRAMA'!$A$5:$A$254,A176,'PARTICIPAÇÕES FONOGRAMA'!$I$5:$I$254))</x:f>
      </x:c>
      <x:c r="AD176" s="202" t="str">
        <x:f>IF(A176="","",IF(AC176=1,"OK 100%","CONFERIR"))</x:f>
      </x:c>
      <x:c r="AE176" s="142"/>
      <x:c r="AF176" s="142"/>
      <x:c r="AG176" s="142"/>
    </x:row>
    <x:row r="177" ht="19" customHeight="1">
      <x:c r="A177" s="142"/>
      <x:c r="B177" s="142"/>
      <x:c r="C177" s="142"/>
      <x:c r="D177" s="142"/>
      <x:c r="E177" s="142"/>
      <x:c r="F177" s="142"/>
      <x:c r="G177" s="142"/>
      <x:c r="H177" s="142"/>
      <x:c r="I177" s="142"/>
      <x:c r="J177" s="142"/>
      <x:c r="K177" s="142"/>
      <x:c r="L177" s="142"/>
      <x:c r="M177" s="208"/>
      <x:c r="N177" s="208"/>
      <x:c r="O177" s="142"/>
      <x:c r="P177" s="142"/>
      <x:c r="Q177" s="142"/>
      <x:c r="R177" s="142"/>
      <x:c r="S177" s="142"/>
      <x:c r="T177" s="142"/>
      <x:c r="U177" s="142"/>
      <x:c r="V177" s="220"/>
      <x:c r="W177" s="142"/>
      <x:c r="X177" s="208"/>
      <x:c r="Y177" s="208"/>
      <x:c r="Z177" s="142"/>
      <x:c r="AA177" s="142"/>
      <x:c r="AB177" s="202" t="str">
        <x:f>IF(A177="","",IF(AND(B177&lt;&gt;"",D177&lt;&gt;"",F177&lt;&gt;"",H177&lt;&gt;"",M177&lt;&gt;"",N177&lt;&gt;"",Q177&lt;&gt;"",R177&lt;&gt;"",U177&lt;&gt;"",V177&lt;&gt;"",W177&lt;&gt;""),"PRONTO","PENDENTE"))</x:f>
      </x:c>
      <x:c r="AC177" s="214" t="str">
        <x:f>IF(A177="","",SUMIF('PARTICIPAÇÕES FONOGRAMA'!$A$5:$A$254,A177,'PARTICIPAÇÕES FONOGRAMA'!$I$5:$I$254))</x:f>
      </x:c>
      <x:c r="AD177" s="202" t="str">
        <x:f>IF(A177="","",IF(AC177=1,"OK 100%","CONFERIR"))</x:f>
      </x:c>
      <x:c r="AE177" s="142"/>
      <x:c r="AF177" s="142"/>
      <x:c r="AG177" s="142"/>
    </x:row>
    <x:row r="178" ht="19" customHeight="1">
      <x:c r="A178" s="142"/>
      <x:c r="B178" s="142"/>
      <x:c r="C178" s="142"/>
      <x:c r="D178" s="142"/>
      <x:c r="E178" s="142"/>
      <x:c r="F178" s="142"/>
      <x:c r="G178" s="142"/>
      <x:c r="H178" s="142"/>
      <x:c r="I178" s="142"/>
      <x:c r="J178" s="142"/>
      <x:c r="K178" s="142"/>
      <x:c r="L178" s="142"/>
      <x:c r="M178" s="208"/>
      <x:c r="N178" s="208"/>
      <x:c r="O178" s="142"/>
      <x:c r="P178" s="142"/>
      <x:c r="Q178" s="142"/>
      <x:c r="R178" s="142"/>
      <x:c r="S178" s="142"/>
      <x:c r="T178" s="142"/>
      <x:c r="U178" s="142"/>
      <x:c r="V178" s="220"/>
      <x:c r="W178" s="142"/>
      <x:c r="X178" s="208"/>
      <x:c r="Y178" s="208"/>
      <x:c r="Z178" s="142"/>
      <x:c r="AA178" s="142"/>
      <x:c r="AB178" s="202" t="str">
        <x:f>IF(A178="","",IF(AND(B178&lt;&gt;"",D178&lt;&gt;"",F178&lt;&gt;"",H178&lt;&gt;"",M178&lt;&gt;"",N178&lt;&gt;"",Q178&lt;&gt;"",R178&lt;&gt;"",U178&lt;&gt;"",V178&lt;&gt;"",W178&lt;&gt;""),"PRONTO","PENDENTE"))</x:f>
      </x:c>
      <x:c r="AC178" s="214" t="str">
        <x:f>IF(A178="","",SUMIF('PARTICIPAÇÕES FONOGRAMA'!$A$5:$A$254,A178,'PARTICIPAÇÕES FONOGRAMA'!$I$5:$I$254))</x:f>
      </x:c>
      <x:c r="AD178" s="202" t="str">
        <x:f>IF(A178="","",IF(AC178=1,"OK 100%","CONFERIR"))</x:f>
      </x:c>
      <x:c r="AE178" s="142"/>
      <x:c r="AF178" s="142"/>
      <x:c r="AG178" s="142"/>
    </x:row>
    <x:row r="179" ht="19" customHeight="1">
      <x:c r="A179" s="142"/>
      <x:c r="B179" s="142"/>
      <x:c r="C179" s="142"/>
      <x:c r="D179" s="142"/>
      <x:c r="E179" s="142"/>
      <x:c r="F179" s="142"/>
      <x:c r="G179" s="142"/>
      <x:c r="H179" s="142"/>
      <x:c r="I179" s="142"/>
      <x:c r="J179" s="142"/>
      <x:c r="K179" s="142"/>
      <x:c r="L179" s="142"/>
      <x:c r="M179" s="208"/>
      <x:c r="N179" s="208"/>
      <x:c r="O179" s="142"/>
      <x:c r="P179" s="142"/>
      <x:c r="Q179" s="142"/>
      <x:c r="R179" s="142"/>
      <x:c r="S179" s="142"/>
      <x:c r="T179" s="142"/>
      <x:c r="U179" s="142"/>
      <x:c r="V179" s="220"/>
      <x:c r="W179" s="142"/>
      <x:c r="X179" s="208"/>
      <x:c r="Y179" s="208"/>
      <x:c r="Z179" s="142"/>
      <x:c r="AA179" s="142"/>
      <x:c r="AB179" s="202" t="str">
        <x:f>IF(A179="","",IF(AND(B179&lt;&gt;"",D179&lt;&gt;"",F179&lt;&gt;"",H179&lt;&gt;"",M179&lt;&gt;"",N179&lt;&gt;"",Q179&lt;&gt;"",R179&lt;&gt;"",U179&lt;&gt;"",V179&lt;&gt;"",W179&lt;&gt;""),"PRONTO","PENDENTE"))</x:f>
      </x:c>
      <x:c r="AC179" s="214" t="str">
        <x:f>IF(A179="","",SUMIF('PARTICIPAÇÕES FONOGRAMA'!$A$5:$A$254,A179,'PARTICIPAÇÕES FONOGRAMA'!$I$5:$I$254))</x:f>
      </x:c>
      <x:c r="AD179" s="202" t="str">
        <x:f>IF(A179="","",IF(AC179=1,"OK 100%","CONFERIR"))</x:f>
      </x:c>
      <x:c r="AE179" s="142"/>
      <x:c r="AF179" s="142"/>
      <x:c r="AG179" s="142"/>
    </x:row>
    <x:row r="180" ht="19" customHeight="1">
      <x:c r="A180" s="142"/>
      <x:c r="B180" s="142"/>
      <x:c r="C180" s="142"/>
      <x:c r="D180" s="142"/>
      <x:c r="E180" s="142"/>
      <x:c r="F180" s="142"/>
      <x:c r="G180" s="142"/>
      <x:c r="H180" s="142"/>
      <x:c r="I180" s="142"/>
      <x:c r="J180" s="142"/>
      <x:c r="K180" s="142"/>
      <x:c r="L180" s="142"/>
      <x:c r="M180" s="208"/>
      <x:c r="N180" s="208"/>
      <x:c r="O180" s="142"/>
      <x:c r="P180" s="142"/>
      <x:c r="Q180" s="142"/>
      <x:c r="R180" s="142"/>
      <x:c r="S180" s="142"/>
      <x:c r="T180" s="142"/>
      <x:c r="U180" s="142"/>
      <x:c r="V180" s="220"/>
      <x:c r="W180" s="142"/>
      <x:c r="X180" s="208"/>
      <x:c r="Y180" s="208"/>
      <x:c r="Z180" s="142"/>
      <x:c r="AA180" s="142"/>
      <x:c r="AB180" s="202" t="str">
        <x:f>IF(A180="","",IF(AND(B180&lt;&gt;"",D180&lt;&gt;"",F180&lt;&gt;"",H180&lt;&gt;"",M180&lt;&gt;"",N180&lt;&gt;"",Q180&lt;&gt;"",R180&lt;&gt;"",U180&lt;&gt;"",V180&lt;&gt;"",W180&lt;&gt;""),"PRONTO","PENDENTE"))</x:f>
      </x:c>
      <x:c r="AC180" s="214" t="str">
        <x:f>IF(A180="","",SUMIF('PARTICIPAÇÕES FONOGRAMA'!$A$5:$A$254,A180,'PARTICIPAÇÕES FONOGRAMA'!$I$5:$I$254))</x:f>
      </x:c>
      <x:c r="AD180" s="202" t="str">
        <x:f>IF(A180="","",IF(AC180=1,"OK 100%","CONFERIR"))</x:f>
      </x:c>
      <x:c r="AE180" s="142"/>
      <x:c r="AF180" s="142"/>
      <x:c r="AG180" s="142"/>
    </x:row>
    <x:row r="181" ht="19" customHeight="1">
      <x:c r="A181" s="142"/>
      <x:c r="B181" s="142"/>
      <x:c r="C181" s="142"/>
      <x:c r="D181" s="142"/>
      <x:c r="E181" s="142"/>
      <x:c r="F181" s="142"/>
      <x:c r="G181" s="142"/>
      <x:c r="H181" s="142"/>
      <x:c r="I181" s="142"/>
      <x:c r="J181" s="142"/>
      <x:c r="K181" s="142"/>
      <x:c r="L181" s="142"/>
      <x:c r="M181" s="208"/>
      <x:c r="N181" s="208"/>
      <x:c r="O181" s="142"/>
      <x:c r="P181" s="142"/>
      <x:c r="Q181" s="142"/>
      <x:c r="R181" s="142"/>
      <x:c r="S181" s="142"/>
      <x:c r="T181" s="142"/>
      <x:c r="U181" s="142"/>
      <x:c r="V181" s="220"/>
      <x:c r="W181" s="142"/>
      <x:c r="X181" s="208"/>
      <x:c r="Y181" s="208"/>
      <x:c r="Z181" s="142"/>
      <x:c r="AA181" s="142"/>
      <x:c r="AB181" s="202" t="str">
        <x:f>IF(A181="","",IF(AND(B181&lt;&gt;"",D181&lt;&gt;"",F181&lt;&gt;"",H181&lt;&gt;"",M181&lt;&gt;"",N181&lt;&gt;"",Q181&lt;&gt;"",R181&lt;&gt;"",U181&lt;&gt;"",V181&lt;&gt;"",W181&lt;&gt;""),"PRONTO","PENDENTE"))</x:f>
      </x:c>
      <x:c r="AC181" s="214" t="str">
        <x:f>IF(A181="","",SUMIF('PARTICIPAÇÕES FONOGRAMA'!$A$5:$A$254,A181,'PARTICIPAÇÕES FONOGRAMA'!$I$5:$I$254))</x:f>
      </x:c>
      <x:c r="AD181" s="202" t="str">
        <x:f>IF(A181="","",IF(AC181=1,"OK 100%","CONFERIR"))</x:f>
      </x:c>
      <x:c r="AE181" s="142"/>
      <x:c r="AF181" s="142"/>
      <x:c r="AG181" s="142"/>
    </x:row>
    <x:row r="182" ht="19" customHeight="1">
      <x:c r="A182" s="142"/>
      <x:c r="B182" s="142"/>
      <x:c r="C182" s="142"/>
      <x:c r="D182" s="142"/>
      <x:c r="E182" s="142"/>
      <x:c r="F182" s="142"/>
      <x:c r="G182" s="142"/>
      <x:c r="H182" s="142"/>
      <x:c r="I182" s="142"/>
      <x:c r="J182" s="142"/>
      <x:c r="K182" s="142"/>
      <x:c r="L182" s="142"/>
      <x:c r="M182" s="208"/>
      <x:c r="N182" s="208"/>
      <x:c r="O182" s="142"/>
      <x:c r="P182" s="142"/>
      <x:c r="Q182" s="142"/>
      <x:c r="R182" s="142"/>
      <x:c r="S182" s="142"/>
      <x:c r="T182" s="142"/>
      <x:c r="U182" s="142"/>
      <x:c r="V182" s="220"/>
      <x:c r="W182" s="142"/>
      <x:c r="X182" s="208"/>
      <x:c r="Y182" s="208"/>
      <x:c r="Z182" s="142"/>
      <x:c r="AA182" s="142"/>
      <x:c r="AB182" s="202" t="str">
        <x:f>IF(A182="","",IF(AND(B182&lt;&gt;"",D182&lt;&gt;"",F182&lt;&gt;"",H182&lt;&gt;"",M182&lt;&gt;"",N182&lt;&gt;"",Q182&lt;&gt;"",R182&lt;&gt;"",U182&lt;&gt;"",V182&lt;&gt;"",W182&lt;&gt;""),"PRONTO","PENDENTE"))</x:f>
      </x:c>
      <x:c r="AC182" s="214" t="str">
        <x:f>IF(A182="","",SUMIF('PARTICIPAÇÕES FONOGRAMA'!$A$5:$A$254,A182,'PARTICIPAÇÕES FONOGRAMA'!$I$5:$I$254))</x:f>
      </x:c>
      <x:c r="AD182" s="202" t="str">
        <x:f>IF(A182="","",IF(AC182=1,"OK 100%","CONFERIR"))</x:f>
      </x:c>
      <x:c r="AE182" s="142"/>
      <x:c r="AF182" s="142"/>
      <x:c r="AG182" s="142"/>
    </x:row>
    <x:row r="183" ht="19" customHeight="1">
      <x:c r="A183" s="142"/>
      <x:c r="B183" s="142"/>
      <x:c r="C183" s="142"/>
      <x:c r="D183" s="142"/>
      <x:c r="E183" s="142"/>
      <x:c r="F183" s="142"/>
      <x:c r="G183" s="142"/>
      <x:c r="H183" s="142"/>
      <x:c r="I183" s="142"/>
      <x:c r="J183" s="142"/>
      <x:c r="K183" s="142"/>
      <x:c r="L183" s="142"/>
      <x:c r="M183" s="208"/>
      <x:c r="N183" s="208"/>
      <x:c r="O183" s="142"/>
      <x:c r="P183" s="142"/>
      <x:c r="Q183" s="142"/>
      <x:c r="R183" s="142"/>
      <x:c r="S183" s="142"/>
      <x:c r="T183" s="142"/>
      <x:c r="U183" s="142"/>
      <x:c r="V183" s="220"/>
      <x:c r="W183" s="142"/>
      <x:c r="X183" s="208"/>
      <x:c r="Y183" s="208"/>
      <x:c r="Z183" s="142"/>
      <x:c r="AA183" s="142"/>
      <x:c r="AB183" s="202" t="str">
        <x:f>IF(A183="","",IF(AND(B183&lt;&gt;"",D183&lt;&gt;"",F183&lt;&gt;"",H183&lt;&gt;"",M183&lt;&gt;"",N183&lt;&gt;"",Q183&lt;&gt;"",R183&lt;&gt;"",U183&lt;&gt;"",V183&lt;&gt;"",W183&lt;&gt;""),"PRONTO","PENDENTE"))</x:f>
      </x:c>
      <x:c r="AC183" s="214" t="str">
        <x:f>IF(A183="","",SUMIF('PARTICIPAÇÕES FONOGRAMA'!$A$5:$A$254,A183,'PARTICIPAÇÕES FONOGRAMA'!$I$5:$I$254))</x:f>
      </x:c>
      <x:c r="AD183" s="202" t="str">
        <x:f>IF(A183="","",IF(AC183=1,"OK 100%","CONFERIR"))</x:f>
      </x:c>
      <x:c r="AE183" s="142"/>
      <x:c r="AF183" s="142"/>
      <x:c r="AG183" s="142"/>
    </x:row>
    <x:row r="184" ht="19" customHeight="1">
      <x:c r="A184" s="142"/>
      <x:c r="B184" s="142"/>
      <x:c r="C184" s="142"/>
      <x:c r="D184" s="142"/>
      <x:c r="E184" s="142"/>
      <x:c r="F184" s="142"/>
      <x:c r="G184" s="142"/>
      <x:c r="H184" s="142"/>
      <x:c r="I184" s="142"/>
      <x:c r="J184" s="142"/>
      <x:c r="K184" s="142"/>
      <x:c r="L184" s="142"/>
      <x:c r="M184" s="208"/>
      <x:c r="N184" s="208"/>
      <x:c r="O184" s="142"/>
      <x:c r="P184" s="142"/>
      <x:c r="Q184" s="142"/>
      <x:c r="R184" s="142"/>
      <x:c r="S184" s="142"/>
      <x:c r="T184" s="142"/>
      <x:c r="U184" s="142"/>
      <x:c r="V184" s="220"/>
      <x:c r="W184" s="142"/>
      <x:c r="X184" s="208"/>
      <x:c r="Y184" s="208"/>
      <x:c r="Z184" s="142"/>
      <x:c r="AA184" s="142"/>
      <x:c r="AB184" s="202" t="str">
        <x:f>IF(A184="","",IF(AND(B184&lt;&gt;"",D184&lt;&gt;"",F184&lt;&gt;"",H184&lt;&gt;"",M184&lt;&gt;"",N184&lt;&gt;"",Q184&lt;&gt;"",R184&lt;&gt;"",U184&lt;&gt;"",V184&lt;&gt;"",W184&lt;&gt;""),"PRONTO","PENDENTE"))</x:f>
      </x:c>
      <x:c r="AC184" s="214" t="str">
        <x:f>IF(A184="","",SUMIF('PARTICIPAÇÕES FONOGRAMA'!$A$5:$A$254,A184,'PARTICIPAÇÕES FONOGRAMA'!$I$5:$I$254))</x:f>
      </x:c>
      <x:c r="AD184" s="202" t="str">
        <x:f>IF(A184="","",IF(AC184=1,"OK 100%","CONFERIR"))</x:f>
      </x:c>
      <x:c r="AE184" s="142"/>
      <x:c r="AF184" s="142"/>
      <x:c r="AG184" s="142"/>
    </x:row>
    <x:row r="185" ht="19" customHeight="1">
      <x:c r="A185" s="142"/>
      <x:c r="B185" s="142"/>
      <x:c r="C185" s="142"/>
      <x:c r="D185" s="142"/>
      <x:c r="E185" s="142"/>
      <x:c r="F185" s="142"/>
      <x:c r="G185" s="142"/>
      <x:c r="H185" s="142"/>
      <x:c r="I185" s="142"/>
      <x:c r="J185" s="142"/>
      <x:c r="K185" s="142"/>
      <x:c r="L185" s="142"/>
      <x:c r="M185" s="208"/>
      <x:c r="N185" s="208"/>
      <x:c r="O185" s="142"/>
      <x:c r="P185" s="142"/>
      <x:c r="Q185" s="142"/>
      <x:c r="R185" s="142"/>
      <x:c r="S185" s="142"/>
      <x:c r="T185" s="142"/>
      <x:c r="U185" s="142"/>
      <x:c r="V185" s="220"/>
      <x:c r="W185" s="142"/>
      <x:c r="X185" s="208"/>
      <x:c r="Y185" s="208"/>
      <x:c r="Z185" s="142"/>
      <x:c r="AA185" s="142"/>
      <x:c r="AB185" s="202" t="str">
        <x:f>IF(A185="","",IF(AND(B185&lt;&gt;"",D185&lt;&gt;"",F185&lt;&gt;"",H185&lt;&gt;"",M185&lt;&gt;"",N185&lt;&gt;"",Q185&lt;&gt;"",R185&lt;&gt;"",U185&lt;&gt;"",V185&lt;&gt;"",W185&lt;&gt;""),"PRONTO","PENDENTE"))</x:f>
      </x:c>
      <x:c r="AC185" s="214" t="str">
        <x:f>IF(A185="","",SUMIF('PARTICIPAÇÕES FONOGRAMA'!$A$5:$A$254,A185,'PARTICIPAÇÕES FONOGRAMA'!$I$5:$I$254))</x:f>
      </x:c>
      <x:c r="AD185" s="202" t="str">
        <x:f>IF(A185="","",IF(AC185=1,"OK 100%","CONFERIR"))</x:f>
      </x:c>
      <x:c r="AE185" s="142"/>
      <x:c r="AF185" s="142"/>
      <x:c r="AG185" s="142"/>
    </x:row>
    <x:row r="186" ht="19" customHeight="1">
      <x:c r="A186" s="142"/>
      <x:c r="B186" s="142"/>
      <x:c r="C186" s="142"/>
      <x:c r="D186" s="142"/>
      <x:c r="E186" s="142"/>
      <x:c r="F186" s="142"/>
      <x:c r="G186" s="142"/>
      <x:c r="H186" s="142"/>
      <x:c r="I186" s="142"/>
      <x:c r="J186" s="142"/>
      <x:c r="K186" s="142"/>
      <x:c r="L186" s="142"/>
      <x:c r="M186" s="208"/>
      <x:c r="N186" s="208"/>
      <x:c r="O186" s="142"/>
      <x:c r="P186" s="142"/>
      <x:c r="Q186" s="142"/>
      <x:c r="R186" s="142"/>
      <x:c r="S186" s="142"/>
      <x:c r="T186" s="142"/>
      <x:c r="U186" s="142"/>
      <x:c r="V186" s="220"/>
      <x:c r="W186" s="142"/>
      <x:c r="X186" s="208"/>
      <x:c r="Y186" s="208"/>
      <x:c r="Z186" s="142"/>
      <x:c r="AA186" s="142"/>
      <x:c r="AB186" s="202" t="str">
        <x:f>IF(A186="","",IF(AND(B186&lt;&gt;"",D186&lt;&gt;"",F186&lt;&gt;"",H186&lt;&gt;"",M186&lt;&gt;"",N186&lt;&gt;"",Q186&lt;&gt;"",R186&lt;&gt;"",U186&lt;&gt;"",V186&lt;&gt;"",W186&lt;&gt;""),"PRONTO","PENDENTE"))</x:f>
      </x:c>
      <x:c r="AC186" s="214" t="str">
        <x:f>IF(A186="","",SUMIF('PARTICIPAÇÕES FONOGRAMA'!$A$5:$A$254,A186,'PARTICIPAÇÕES FONOGRAMA'!$I$5:$I$254))</x:f>
      </x:c>
      <x:c r="AD186" s="202" t="str">
        <x:f>IF(A186="","",IF(AC186=1,"OK 100%","CONFERIR"))</x:f>
      </x:c>
      <x:c r="AE186" s="142"/>
      <x:c r="AF186" s="142"/>
      <x:c r="AG186" s="142"/>
    </x:row>
    <x:row r="187" ht="19" customHeight="1">
      <x:c r="A187" s="142"/>
      <x:c r="B187" s="142"/>
      <x:c r="C187" s="142"/>
      <x:c r="D187" s="142"/>
      <x:c r="E187" s="142"/>
      <x:c r="F187" s="142"/>
      <x:c r="G187" s="142"/>
      <x:c r="H187" s="142"/>
      <x:c r="I187" s="142"/>
      <x:c r="J187" s="142"/>
      <x:c r="K187" s="142"/>
      <x:c r="L187" s="142"/>
      <x:c r="M187" s="208"/>
      <x:c r="N187" s="208"/>
      <x:c r="O187" s="142"/>
      <x:c r="P187" s="142"/>
      <x:c r="Q187" s="142"/>
      <x:c r="R187" s="142"/>
      <x:c r="S187" s="142"/>
      <x:c r="T187" s="142"/>
      <x:c r="U187" s="142"/>
      <x:c r="V187" s="220"/>
      <x:c r="W187" s="142"/>
      <x:c r="X187" s="208"/>
      <x:c r="Y187" s="208"/>
      <x:c r="Z187" s="142"/>
      <x:c r="AA187" s="142"/>
      <x:c r="AB187" s="202" t="str">
        <x:f>IF(A187="","",IF(AND(B187&lt;&gt;"",D187&lt;&gt;"",F187&lt;&gt;"",H187&lt;&gt;"",M187&lt;&gt;"",N187&lt;&gt;"",Q187&lt;&gt;"",R187&lt;&gt;"",U187&lt;&gt;"",V187&lt;&gt;"",W187&lt;&gt;""),"PRONTO","PENDENTE"))</x:f>
      </x:c>
      <x:c r="AC187" s="214" t="str">
        <x:f>IF(A187="","",SUMIF('PARTICIPAÇÕES FONOGRAMA'!$A$5:$A$254,A187,'PARTICIPAÇÕES FONOGRAMA'!$I$5:$I$254))</x:f>
      </x:c>
      <x:c r="AD187" s="202" t="str">
        <x:f>IF(A187="","",IF(AC187=1,"OK 100%","CONFERIR"))</x:f>
      </x:c>
      <x:c r="AE187" s="142"/>
      <x:c r="AF187" s="142"/>
      <x:c r="AG187" s="142"/>
    </x:row>
    <x:row r="188" ht="19" customHeight="1">
      <x:c r="A188" s="142"/>
      <x:c r="B188" s="142"/>
      <x:c r="C188" s="142"/>
      <x:c r="D188" s="142"/>
      <x:c r="E188" s="142"/>
      <x:c r="F188" s="142"/>
      <x:c r="G188" s="142"/>
      <x:c r="H188" s="142"/>
      <x:c r="I188" s="142"/>
      <x:c r="J188" s="142"/>
      <x:c r="K188" s="142"/>
      <x:c r="L188" s="142"/>
      <x:c r="M188" s="208"/>
      <x:c r="N188" s="208"/>
      <x:c r="O188" s="142"/>
      <x:c r="P188" s="142"/>
      <x:c r="Q188" s="142"/>
      <x:c r="R188" s="142"/>
      <x:c r="S188" s="142"/>
      <x:c r="T188" s="142"/>
      <x:c r="U188" s="142"/>
      <x:c r="V188" s="220"/>
      <x:c r="W188" s="142"/>
      <x:c r="X188" s="208"/>
      <x:c r="Y188" s="208"/>
      <x:c r="Z188" s="142"/>
      <x:c r="AA188" s="142"/>
      <x:c r="AB188" s="202" t="str">
        <x:f>IF(A188="","",IF(AND(B188&lt;&gt;"",D188&lt;&gt;"",F188&lt;&gt;"",H188&lt;&gt;"",M188&lt;&gt;"",N188&lt;&gt;"",Q188&lt;&gt;"",R188&lt;&gt;"",U188&lt;&gt;"",V188&lt;&gt;"",W188&lt;&gt;""),"PRONTO","PENDENTE"))</x:f>
      </x:c>
      <x:c r="AC188" s="214" t="str">
        <x:f>IF(A188="","",SUMIF('PARTICIPAÇÕES FONOGRAMA'!$A$5:$A$254,A188,'PARTICIPAÇÕES FONOGRAMA'!$I$5:$I$254))</x:f>
      </x:c>
      <x:c r="AD188" s="202" t="str">
        <x:f>IF(A188="","",IF(AC188=1,"OK 100%","CONFERIR"))</x:f>
      </x:c>
      <x:c r="AE188" s="142"/>
      <x:c r="AF188" s="142"/>
      <x:c r="AG188" s="142"/>
    </x:row>
    <x:row r="189" ht="19" customHeight="1">
      <x:c r="A189" s="142"/>
      <x:c r="B189" s="142"/>
      <x:c r="C189" s="142"/>
      <x:c r="D189" s="142"/>
      <x:c r="E189" s="142"/>
      <x:c r="F189" s="142"/>
      <x:c r="G189" s="142"/>
      <x:c r="H189" s="142"/>
      <x:c r="I189" s="142"/>
      <x:c r="J189" s="142"/>
      <x:c r="K189" s="142"/>
      <x:c r="L189" s="142"/>
      <x:c r="M189" s="208"/>
      <x:c r="N189" s="208"/>
      <x:c r="O189" s="142"/>
      <x:c r="P189" s="142"/>
      <x:c r="Q189" s="142"/>
      <x:c r="R189" s="142"/>
      <x:c r="S189" s="142"/>
      <x:c r="T189" s="142"/>
      <x:c r="U189" s="142"/>
      <x:c r="V189" s="220"/>
      <x:c r="W189" s="142"/>
      <x:c r="X189" s="208"/>
      <x:c r="Y189" s="208"/>
      <x:c r="Z189" s="142"/>
      <x:c r="AA189" s="142"/>
      <x:c r="AB189" s="202" t="str">
        <x:f>IF(A189="","",IF(AND(B189&lt;&gt;"",D189&lt;&gt;"",F189&lt;&gt;"",H189&lt;&gt;"",M189&lt;&gt;"",N189&lt;&gt;"",Q189&lt;&gt;"",R189&lt;&gt;"",U189&lt;&gt;"",V189&lt;&gt;"",W189&lt;&gt;""),"PRONTO","PENDENTE"))</x:f>
      </x:c>
      <x:c r="AC189" s="214" t="str">
        <x:f>IF(A189="","",SUMIF('PARTICIPAÇÕES FONOGRAMA'!$A$5:$A$254,A189,'PARTICIPAÇÕES FONOGRAMA'!$I$5:$I$254))</x:f>
      </x:c>
      <x:c r="AD189" s="202" t="str">
        <x:f>IF(A189="","",IF(AC189=1,"OK 100%","CONFERIR"))</x:f>
      </x:c>
      <x:c r="AE189" s="142"/>
      <x:c r="AF189" s="142"/>
      <x:c r="AG189" s="142"/>
    </x:row>
    <x:row r="190" ht="19" customHeight="1">
      <x:c r="A190" s="142"/>
      <x:c r="B190" s="142"/>
      <x:c r="C190" s="142"/>
      <x:c r="D190" s="142"/>
      <x:c r="E190" s="142"/>
      <x:c r="F190" s="142"/>
      <x:c r="G190" s="142"/>
      <x:c r="H190" s="142"/>
      <x:c r="I190" s="142"/>
      <x:c r="J190" s="142"/>
      <x:c r="K190" s="142"/>
      <x:c r="L190" s="142"/>
      <x:c r="M190" s="208"/>
      <x:c r="N190" s="208"/>
      <x:c r="O190" s="142"/>
      <x:c r="P190" s="142"/>
      <x:c r="Q190" s="142"/>
      <x:c r="R190" s="142"/>
      <x:c r="S190" s="142"/>
      <x:c r="T190" s="142"/>
      <x:c r="U190" s="142"/>
      <x:c r="V190" s="220"/>
      <x:c r="W190" s="142"/>
      <x:c r="X190" s="208"/>
      <x:c r="Y190" s="208"/>
      <x:c r="Z190" s="142"/>
      <x:c r="AA190" s="142"/>
      <x:c r="AB190" s="202" t="str">
        <x:f>IF(A190="","",IF(AND(B190&lt;&gt;"",D190&lt;&gt;"",F190&lt;&gt;"",H190&lt;&gt;"",M190&lt;&gt;"",N190&lt;&gt;"",Q190&lt;&gt;"",R190&lt;&gt;"",U190&lt;&gt;"",V190&lt;&gt;"",W190&lt;&gt;""),"PRONTO","PENDENTE"))</x:f>
      </x:c>
      <x:c r="AC190" s="214" t="str">
        <x:f>IF(A190="","",SUMIF('PARTICIPAÇÕES FONOGRAMA'!$A$5:$A$254,A190,'PARTICIPAÇÕES FONOGRAMA'!$I$5:$I$254))</x:f>
      </x:c>
      <x:c r="AD190" s="202" t="str">
        <x:f>IF(A190="","",IF(AC190=1,"OK 100%","CONFERIR"))</x:f>
      </x:c>
      <x:c r="AE190" s="142"/>
      <x:c r="AF190" s="142"/>
      <x:c r="AG190" s="142"/>
    </x:row>
    <x:row r="191" ht="19" customHeight="1">
      <x:c r="A191" s="142"/>
      <x:c r="B191" s="142"/>
      <x:c r="C191" s="142"/>
      <x:c r="D191" s="142"/>
      <x:c r="E191" s="142"/>
      <x:c r="F191" s="142"/>
      <x:c r="G191" s="142"/>
      <x:c r="H191" s="142"/>
      <x:c r="I191" s="142"/>
      <x:c r="J191" s="142"/>
      <x:c r="K191" s="142"/>
      <x:c r="L191" s="142"/>
      <x:c r="M191" s="208"/>
      <x:c r="N191" s="208"/>
      <x:c r="O191" s="142"/>
      <x:c r="P191" s="142"/>
      <x:c r="Q191" s="142"/>
      <x:c r="R191" s="142"/>
      <x:c r="S191" s="142"/>
      <x:c r="T191" s="142"/>
      <x:c r="U191" s="142"/>
      <x:c r="V191" s="220"/>
      <x:c r="W191" s="142"/>
      <x:c r="X191" s="208"/>
      <x:c r="Y191" s="208"/>
      <x:c r="Z191" s="142"/>
      <x:c r="AA191" s="142"/>
      <x:c r="AB191" s="202" t="str">
        <x:f>IF(A191="","",IF(AND(B191&lt;&gt;"",D191&lt;&gt;"",F191&lt;&gt;"",H191&lt;&gt;"",M191&lt;&gt;"",N191&lt;&gt;"",Q191&lt;&gt;"",R191&lt;&gt;"",U191&lt;&gt;"",V191&lt;&gt;"",W191&lt;&gt;""),"PRONTO","PENDENTE"))</x:f>
      </x:c>
      <x:c r="AC191" s="214" t="str">
        <x:f>IF(A191="","",SUMIF('PARTICIPAÇÕES FONOGRAMA'!$A$5:$A$254,A191,'PARTICIPAÇÕES FONOGRAMA'!$I$5:$I$254))</x:f>
      </x:c>
      <x:c r="AD191" s="202" t="str">
        <x:f>IF(A191="","",IF(AC191=1,"OK 100%","CONFERIR"))</x:f>
      </x:c>
      <x:c r="AE191" s="142"/>
      <x:c r="AF191" s="142"/>
      <x:c r="AG191" s="142"/>
    </x:row>
    <x:row r="192" ht="19" customHeight="1">
      <x:c r="A192" s="142"/>
      <x:c r="B192" s="142"/>
      <x:c r="C192" s="142"/>
      <x:c r="D192" s="142"/>
      <x:c r="E192" s="142"/>
      <x:c r="F192" s="142"/>
      <x:c r="G192" s="142"/>
      <x:c r="H192" s="142"/>
      <x:c r="I192" s="142"/>
      <x:c r="J192" s="142"/>
      <x:c r="K192" s="142"/>
      <x:c r="L192" s="142"/>
      <x:c r="M192" s="208"/>
      <x:c r="N192" s="208"/>
      <x:c r="O192" s="142"/>
      <x:c r="P192" s="142"/>
      <x:c r="Q192" s="142"/>
      <x:c r="R192" s="142"/>
      <x:c r="S192" s="142"/>
      <x:c r="T192" s="142"/>
      <x:c r="U192" s="142"/>
      <x:c r="V192" s="220"/>
      <x:c r="W192" s="142"/>
      <x:c r="X192" s="208"/>
      <x:c r="Y192" s="208"/>
      <x:c r="Z192" s="142"/>
      <x:c r="AA192" s="142"/>
      <x:c r="AB192" s="202" t="str">
        <x:f>IF(A192="","",IF(AND(B192&lt;&gt;"",D192&lt;&gt;"",F192&lt;&gt;"",H192&lt;&gt;"",M192&lt;&gt;"",N192&lt;&gt;"",Q192&lt;&gt;"",R192&lt;&gt;"",U192&lt;&gt;"",V192&lt;&gt;"",W192&lt;&gt;""),"PRONTO","PENDENTE"))</x:f>
      </x:c>
      <x:c r="AC192" s="214" t="str">
        <x:f>IF(A192="","",SUMIF('PARTICIPAÇÕES FONOGRAMA'!$A$5:$A$254,A192,'PARTICIPAÇÕES FONOGRAMA'!$I$5:$I$254))</x:f>
      </x:c>
      <x:c r="AD192" s="202" t="str">
        <x:f>IF(A192="","",IF(AC192=1,"OK 100%","CONFERIR"))</x:f>
      </x:c>
      <x:c r="AE192" s="142"/>
      <x:c r="AF192" s="142"/>
      <x:c r="AG192" s="142"/>
    </x:row>
    <x:row r="193" ht="19" customHeight="1">
      <x:c r="A193" s="142"/>
      <x:c r="B193" s="142"/>
      <x:c r="C193" s="142"/>
      <x:c r="D193" s="142"/>
      <x:c r="E193" s="142"/>
      <x:c r="F193" s="142"/>
      <x:c r="G193" s="142"/>
      <x:c r="H193" s="142"/>
      <x:c r="I193" s="142"/>
      <x:c r="J193" s="142"/>
      <x:c r="K193" s="142"/>
      <x:c r="L193" s="142"/>
      <x:c r="M193" s="208"/>
      <x:c r="N193" s="208"/>
      <x:c r="O193" s="142"/>
      <x:c r="P193" s="142"/>
      <x:c r="Q193" s="142"/>
      <x:c r="R193" s="142"/>
      <x:c r="S193" s="142"/>
      <x:c r="T193" s="142"/>
      <x:c r="U193" s="142"/>
      <x:c r="V193" s="220"/>
      <x:c r="W193" s="142"/>
      <x:c r="X193" s="208"/>
      <x:c r="Y193" s="208"/>
      <x:c r="Z193" s="142"/>
      <x:c r="AA193" s="142"/>
      <x:c r="AB193" s="202" t="str">
        <x:f>IF(A193="","",IF(AND(B193&lt;&gt;"",D193&lt;&gt;"",F193&lt;&gt;"",H193&lt;&gt;"",M193&lt;&gt;"",N193&lt;&gt;"",Q193&lt;&gt;"",R193&lt;&gt;"",U193&lt;&gt;"",V193&lt;&gt;"",W193&lt;&gt;""),"PRONTO","PENDENTE"))</x:f>
      </x:c>
      <x:c r="AC193" s="214" t="str">
        <x:f>IF(A193="","",SUMIF('PARTICIPAÇÕES FONOGRAMA'!$A$5:$A$254,A193,'PARTICIPAÇÕES FONOGRAMA'!$I$5:$I$254))</x:f>
      </x:c>
      <x:c r="AD193" s="202" t="str">
        <x:f>IF(A193="","",IF(AC193=1,"OK 100%","CONFERIR"))</x:f>
      </x:c>
      <x:c r="AE193" s="142"/>
      <x:c r="AF193" s="142"/>
      <x:c r="AG193" s="142"/>
    </x:row>
    <x:row r="194" ht="19" customHeight="1">
      <x:c r="A194" s="142"/>
      <x:c r="B194" s="142"/>
      <x:c r="C194" s="142"/>
      <x:c r="D194" s="142"/>
      <x:c r="E194" s="142"/>
      <x:c r="F194" s="142"/>
      <x:c r="G194" s="142"/>
      <x:c r="H194" s="142"/>
      <x:c r="I194" s="142"/>
      <x:c r="J194" s="142"/>
      <x:c r="K194" s="142"/>
      <x:c r="L194" s="142"/>
      <x:c r="M194" s="208"/>
      <x:c r="N194" s="208"/>
      <x:c r="O194" s="142"/>
      <x:c r="P194" s="142"/>
      <x:c r="Q194" s="142"/>
      <x:c r="R194" s="142"/>
      <x:c r="S194" s="142"/>
      <x:c r="T194" s="142"/>
      <x:c r="U194" s="142"/>
      <x:c r="V194" s="220"/>
      <x:c r="W194" s="142"/>
      <x:c r="X194" s="208"/>
      <x:c r="Y194" s="208"/>
      <x:c r="Z194" s="142"/>
      <x:c r="AA194" s="142"/>
      <x:c r="AB194" s="202" t="str">
        <x:f>IF(A194="","",IF(AND(B194&lt;&gt;"",D194&lt;&gt;"",F194&lt;&gt;"",H194&lt;&gt;"",M194&lt;&gt;"",N194&lt;&gt;"",Q194&lt;&gt;"",R194&lt;&gt;"",U194&lt;&gt;"",V194&lt;&gt;"",W194&lt;&gt;""),"PRONTO","PENDENTE"))</x:f>
      </x:c>
      <x:c r="AC194" s="214" t="str">
        <x:f>IF(A194="","",SUMIF('PARTICIPAÇÕES FONOGRAMA'!$A$5:$A$254,A194,'PARTICIPAÇÕES FONOGRAMA'!$I$5:$I$254))</x:f>
      </x:c>
      <x:c r="AD194" s="202" t="str">
        <x:f>IF(A194="","",IF(AC194=1,"OK 100%","CONFERIR"))</x:f>
      </x:c>
      <x:c r="AE194" s="142"/>
      <x:c r="AF194" s="142"/>
      <x:c r="AG194" s="142"/>
    </x:row>
    <x:row r="195" ht="19" customHeight="1">
      <x:c r="A195" s="142"/>
      <x:c r="B195" s="142"/>
      <x:c r="C195" s="142"/>
      <x:c r="D195" s="142"/>
      <x:c r="E195" s="142"/>
      <x:c r="F195" s="142"/>
      <x:c r="G195" s="142"/>
      <x:c r="H195" s="142"/>
      <x:c r="I195" s="142"/>
      <x:c r="J195" s="142"/>
      <x:c r="K195" s="142"/>
      <x:c r="L195" s="142"/>
      <x:c r="M195" s="208"/>
      <x:c r="N195" s="208"/>
      <x:c r="O195" s="142"/>
      <x:c r="P195" s="142"/>
      <x:c r="Q195" s="142"/>
      <x:c r="R195" s="142"/>
      <x:c r="S195" s="142"/>
      <x:c r="T195" s="142"/>
      <x:c r="U195" s="142"/>
      <x:c r="V195" s="220"/>
      <x:c r="W195" s="142"/>
      <x:c r="X195" s="208"/>
      <x:c r="Y195" s="208"/>
      <x:c r="Z195" s="142"/>
      <x:c r="AA195" s="142"/>
      <x:c r="AB195" s="202" t="str">
        <x:f>IF(A195="","",IF(AND(B195&lt;&gt;"",D195&lt;&gt;"",F195&lt;&gt;"",H195&lt;&gt;"",M195&lt;&gt;"",N195&lt;&gt;"",Q195&lt;&gt;"",R195&lt;&gt;"",U195&lt;&gt;"",V195&lt;&gt;"",W195&lt;&gt;""),"PRONTO","PENDENTE"))</x:f>
      </x:c>
      <x:c r="AC195" s="214" t="str">
        <x:f>IF(A195="","",SUMIF('PARTICIPAÇÕES FONOGRAMA'!$A$5:$A$254,A195,'PARTICIPAÇÕES FONOGRAMA'!$I$5:$I$254))</x:f>
      </x:c>
      <x:c r="AD195" s="202" t="str">
        <x:f>IF(A195="","",IF(AC195=1,"OK 100%","CONFERIR"))</x:f>
      </x:c>
      <x:c r="AE195" s="142"/>
      <x:c r="AF195" s="142"/>
      <x:c r="AG195" s="142"/>
    </x:row>
    <x:row r="196" ht="19" customHeight="1">
      <x:c r="A196" s="142"/>
      <x:c r="B196" s="142"/>
      <x:c r="C196" s="142"/>
      <x:c r="D196" s="142"/>
      <x:c r="E196" s="142"/>
      <x:c r="F196" s="142"/>
      <x:c r="G196" s="142"/>
      <x:c r="H196" s="142"/>
      <x:c r="I196" s="142"/>
      <x:c r="J196" s="142"/>
      <x:c r="K196" s="142"/>
      <x:c r="L196" s="142"/>
      <x:c r="M196" s="208"/>
      <x:c r="N196" s="208"/>
      <x:c r="O196" s="142"/>
      <x:c r="P196" s="142"/>
      <x:c r="Q196" s="142"/>
      <x:c r="R196" s="142"/>
      <x:c r="S196" s="142"/>
      <x:c r="T196" s="142"/>
      <x:c r="U196" s="142"/>
      <x:c r="V196" s="220"/>
      <x:c r="W196" s="142"/>
      <x:c r="X196" s="208"/>
      <x:c r="Y196" s="208"/>
      <x:c r="Z196" s="142"/>
      <x:c r="AA196" s="142"/>
      <x:c r="AB196" s="202" t="str">
        <x:f>IF(A196="","",IF(AND(B196&lt;&gt;"",D196&lt;&gt;"",F196&lt;&gt;"",H196&lt;&gt;"",M196&lt;&gt;"",N196&lt;&gt;"",Q196&lt;&gt;"",R196&lt;&gt;"",U196&lt;&gt;"",V196&lt;&gt;"",W196&lt;&gt;""),"PRONTO","PENDENTE"))</x:f>
      </x:c>
      <x:c r="AC196" s="214" t="str">
        <x:f>IF(A196="","",SUMIF('PARTICIPAÇÕES FONOGRAMA'!$A$5:$A$254,A196,'PARTICIPAÇÕES FONOGRAMA'!$I$5:$I$254))</x:f>
      </x:c>
      <x:c r="AD196" s="202" t="str">
        <x:f>IF(A196="","",IF(AC196=1,"OK 100%","CONFERIR"))</x:f>
      </x:c>
      <x:c r="AE196" s="142"/>
      <x:c r="AF196" s="142"/>
      <x:c r="AG196" s="142"/>
    </x:row>
    <x:row r="197" ht="19" customHeight="1">
      <x:c r="A197" s="142"/>
      <x:c r="B197" s="142"/>
      <x:c r="C197" s="142"/>
      <x:c r="D197" s="142"/>
      <x:c r="E197" s="142"/>
      <x:c r="F197" s="142"/>
      <x:c r="G197" s="142"/>
      <x:c r="H197" s="142"/>
      <x:c r="I197" s="142"/>
      <x:c r="J197" s="142"/>
      <x:c r="K197" s="142"/>
      <x:c r="L197" s="142"/>
      <x:c r="M197" s="208"/>
      <x:c r="N197" s="208"/>
      <x:c r="O197" s="142"/>
      <x:c r="P197" s="142"/>
      <x:c r="Q197" s="142"/>
      <x:c r="R197" s="142"/>
      <x:c r="S197" s="142"/>
      <x:c r="T197" s="142"/>
      <x:c r="U197" s="142"/>
      <x:c r="V197" s="220"/>
      <x:c r="W197" s="142"/>
      <x:c r="X197" s="208"/>
      <x:c r="Y197" s="208"/>
      <x:c r="Z197" s="142"/>
      <x:c r="AA197" s="142"/>
      <x:c r="AB197" s="202" t="str">
        <x:f>IF(A197="","",IF(AND(B197&lt;&gt;"",D197&lt;&gt;"",F197&lt;&gt;"",H197&lt;&gt;"",M197&lt;&gt;"",N197&lt;&gt;"",Q197&lt;&gt;"",R197&lt;&gt;"",U197&lt;&gt;"",V197&lt;&gt;"",W197&lt;&gt;""),"PRONTO","PENDENTE"))</x:f>
      </x:c>
      <x:c r="AC197" s="214" t="str">
        <x:f>IF(A197="","",SUMIF('PARTICIPAÇÕES FONOGRAMA'!$A$5:$A$254,A197,'PARTICIPAÇÕES FONOGRAMA'!$I$5:$I$254))</x:f>
      </x:c>
      <x:c r="AD197" s="202" t="str">
        <x:f>IF(A197="","",IF(AC197=1,"OK 100%","CONFERIR"))</x:f>
      </x:c>
      <x:c r="AE197" s="142"/>
      <x:c r="AF197" s="142"/>
      <x:c r="AG197" s="142"/>
    </x:row>
    <x:row r="198" ht="19" customHeight="1">
      <x:c r="A198" s="142"/>
      <x:c r="B198" s="142"/>
      <x:c r="C198" s="142"/>
      <x:c r="D198" s="142"/>
      <x:c r="E198" s="142"/>
      <x:c r="F198" s="142"/>
      <x:c r="G198" s="142"/>
      <x:c r="H198" s="142"/>
      <x:c r="I198" s="142"/>
      <x:c r="J198" s="142"/>
      <x:c r="K198" s="142"/>
      <x:c r="L198" s="142"/>
      <x:c r="M198" s="208"/>
      <x:c r="N198" s="208"/>
      <x:c r="O198" s="142"/>
      <x:c r="P198" s="142"/>
      <x:c r="Q198" s="142"/>
      <x:c r="R198" s="142"/>
      <x:c r="S198" s="142"/>
      <x:c r="T198" s="142"/>
      <x:c r="U198" s="142"/>
      <x:c r="V198" s="220"/>
      <x:c r="W198" s="142"/>
      <x:c r="X198" s="208"/>
      <x:c r="Y198" s="208"/>
      <x:c r="Z198" s="142"/>
      <x:c r="AA198" s="142"/>
      <x:c r="AB198" s="202" t="str">
        <x:f>IF(A198="","",IF(AND(B198&lt;&gt;"",D198&lt;&gt;"",F198&lt;&gt;"",H198&lt;&gt;"",M198&lt;&gt;"",N198&lt;&gt;"",Q198&lt;&gt;"",R198&lt;&gt;"",U198&lt;&gt;"",V198&lt;&gt;"",W198&lt;&gt;""),"PRONTO","PENDENTE"))</x:f>
      </x:c>
      <x:c r="AC198" s="214" t="str">
        <x:f>IF(A198="","",SUMIF('PARTICIPAÇÕES FONOGRAMA'!$A$5:$A$254,A198,'PARTICIPAÇÕES FONOGRAMA'!$I$5:$I$254))</x:f>
      </x:c>
      <x:c r="AD198" s="202" t="str">
        <x:f>IF(A198="","",IF(AC198=1,"OK 100%","CONFERIR"))</x:f>
      </x:c>
      <x:c r="AE198" s="142"/>
      <x:c r="AF198" s="142"/>
      <x:c r="AG198" s="142"/>
    </x:row>
    <x:row r="199" ht="19" customHeight="1">
      <x:c r="A199" s="142"/>
      <x:c r="B199" s="142"/>
      <x:c r="C199" s="142"/>
      <x:c r="D199" s="142"/>
      <x:c r="E199" s="142"/>
      <x:c r="F199" s="142"/>
      <x:c r="G199" s="142"/>
      <x:c r="H199" s="142"/>
      <x:c r="I199" s="142"/>
      <x:c r="J199" s="142"/>
      <x:c r="K199" s="142"/>
      <x:c r="L199" s="142"/>
      <x:c r="M199" s="208"/>
      <x:c r="N199" s="208"/>
      <x:c r="O199" s="142"/>
      <x:c r="P199" s="142"/>
      <x:c r="Q199" s="142"/>
      <x:c r="R199" s="142"/>
      <x:c r="S199" s="142"/>
      <x:c r="T199" s="142"/>
      <x:c r="U199" s="142"/>
      <x:c r="V199" s="220"/>
      <x:c r="W199" s="142"/>
      <x:c r="X199" s="208"/>
      <x:c r="Y199" s="208"/>
      <x:c r="Z199" s="142"/>
      <x:c r="AA199" s="142"/>
      <x:c r="AB199" s="202" t="str">
        <x:f>IF(A199="","",IF(AND(B199&lt;&gt;"",D199&lt;&gt;"",F199&lt;&gt;"",H199&lt;&gt;"",M199&lt;&gt;"",N199&lt;&gt;"",Q199&lt;&gt;"",R199&lt;&gt;"",U199&lt;&gt;"",V199&lt;&gt;"",W199&lt;&gt;""),"PRONTO","PENDENTE"))</x:f>
      </x:c>
      <x:c r="AC199" s="214" t="str">
        <x:f>IF(A199="","",SUMIF('PARTICIPAÇÕES FONOGRAMA'!$A$5:$A$254,A199,'PARTICIPAÇÕES FONOGRAMA'!$I$5:$I$254))</x:f>
      </x:c>
      <x:c r="AD199" s="202" t="str">
        <x:f>IF(A199="","",IF(AC199=1,"OK 100%","CONFERIR"))</x:f>
      </x:c>
      <x:c r="AE199" s="142"/>
      <x:c r="AF199" s="142"/>
      <x:c r="AG199" s="142"/>
    </x:row>
    <x:row r="200" ht="19" customHeight="1">
      <x:c r="A200" s="142"/>
      <x:c r="B200" s="142"/>
      <x:c r="C200" s="142"/>
      <x:c r="D200" s="142"/>
      <x:c r="E200" s="142"/>
      <x:c r="F200" s="142"/>
      <x:c r="G200" s="142"/>
      <x:c r="H200" s="142"/>
      <x:c r="I200" s="142"/>
      <x:c r="J200" s="142"/>
      <x:c r="K200" s="142"/>
      <x:c r="L200" s="142"/>
      <x:c r="M200" s="208"/>
      <x:c r="N200" s="208"/>
      <x:c r="O200" s="142"/>
      <x:c r="P200" s="142"/>
      <x:c r="Q200" s="142"/>
      <x:c r="R200" s="142"/>
      <x:c r="S200" s="142"/>
      <x:c r="T200" s="142"/>
      <x:c r="U200" s="142"/>
      <x:c r="V200" s="220"/>
      <x:c r="W200" s="142"/>
      <x:c r="X200" s="208"/>
      <x:c r="Y200" s="208"/>
      <x:c r="Z200" s="142"/>
      <x:c r="AA200" s="142"/>
      <x:c r="AB200" s="202" t="str">
        <x:f>IF(A200="","",IF(AND(B200&lt;&gt;"",D200&lt;&gt;"",F200&lt;&gt;"",H200&lt;&gt;"",M200&lt;&gt;"",N200&lt;&gt;"",Q200&lt;&gt;"",R200&lt;&gt;"",U200&lt;&gt;"",V200&lt;&gt;"",W200&lt;&gt;""),"PRONTO","PENDENTE"))</x:f>
      </x:c>
      <x:c r="AC200" s="214" t="str">
        <x:f>IF(A200="","",SUMIF('PARTICIPAÇÕES FONOGRAMA'!$A$5:$A$254,A200,'PARTICIPAÇÕES FONOGRAMA'!$I$5:$I$254))</x:f>
      </x:c>
      <x:c r="AD200" s="202" t="str">
        <x:f>IF(A200="","",IF(AC200=1,"OK 100%","CONFERIR"))</x:f>
      </x:c>
      <x:c r="AE200" s="142"/>
      <x:c r="AF200" s="142"/>
      <x:c r="AG200" s="142"/>
    </x:row>
    <x:row r="201" ht="19" customHeight="1">
      <x:c r="A201" s="142"/>
      <x:c r="B201" s="142"/>
      <x:c r="C201" s="142"/>
      <x:c r="D201" s="142"/>
      <x:c r="E201" s="142"/>
      <x:c r="F201" s="142"/>
      <x:c r="G201" s="142"/>
      <x:c r="H201" s="142"/>
      <x:c r="I201" s="142"/>
      <x:c r="J201" s="142"/>
      <x:c r="K201" s="142"/>
      <x:c r="L201" s="142"/>
      <x:c r="M201" s="208"/>
      <x:c r="N201" s="208"/>
      <x:c r="O201" s="142"/>
      <x:c r="P201" s="142"/>
      <x:c r="Q201" s="142"/>
      <x:c r="R201" s="142"/>
      <x:c r="S201" s="142"/>
      <x:c r="T201" s="142"/>
      <x:c r="U201" s="142"/>
      <x:c r="V201" s="220"/>
      <x:c r="W201" s="142"/>
      <x:c r="X201" s="208"/>
      <x:c r="Y201" s="208"/>
      <x:c r="Z201" s="142"/>
      <x:c r="AA201" s="142"/>
      <x:c r="AB201" s="202" t="str">
        <x:f>IF(A201="","",IF(AND(B201&lt;&gt;"",D201&lt;&gt;"",F201&lt;&gt;"",H201&lt;&gt;"",M201&lt;&gt;"",N201&lt;&gt;"",Q201&lt;&gt;"",R201&lt;&gt;"",U201&lt;&gt;"",V201&lt;&gt;"",W201&lt;&gt;""),"PRONTO","PENDENTE"))</x:f>
      </x:c>
      <x:c r="AC201" s="214" t="str">
        <x:f>IF(A201="","",SUMIF('PARTICIPAÇÕES FONOGRAMA'!$A$5:$A$254,A201,'PARTICIPAÇÕES FONOGRAMA'!$I$5:$I$254))</x:f>
      </x:c>
      <x:c r="AD201" s="202" t="str">
        <x:f>IF(A201="","",IF(AC201=1,"OK 100%","CONFERIR"))</x:f>
      </x:c>
      <x:c r="AE201" s="142"/>
      <x:c r="AF201" s="142"/>
      <x:c r="AG201" s="142"/>
    </x:row>
    <x:row r="202" ht="19" customHeight="1">
      <x:c r="A202" s="142"/>
      <x:c r="B202" s="142"/>
      <x:c r="C202" s="142"/>
      <x:c r="D202" s="142"/>
      <x:c r="E202" s="142"/>
      <x:c r="F202" s="142"/>
      <x:c r="G202" s="142"/>
      <x:c r="H202" s="142"/>
      <x:c r="I202" s="142"/>
      <x:c r="J202" s="142"/>
      <x:c r="K202" s="142"/>
      <x:c r="L202" s="142"/>
      <x:c r="M202" s="208"/>
      <x:c r="N202" s="208"/>
      <x:c r="O202" s="142"/>
      <x:c r="P202" s="142"/>
      <x:c r="Q202" s="142"/>
      <x:c r="R202" s="142"/>
      <x:c r="S202" s="142"/>
      <x:c r="T202" s="142"/>
      <x:c r="U202" s="142"/>
      <x:c r="V202" s="220"/>
      <x:c r="W202" s="142"/>
      <x:c r="X202" s="208"/>
      <x:c r="Y202" s="208"/>
      <x:c r="Z202" s="142"/>
      <x:c r="AA202" s="142"/>
      <x:c r="AB202" s="202" t="str">
        <x:f>IF(A202="","",IF(AND(B202&lt;&gt;"",D202&lt;&gt;"",F202&lt;&gt;"",H202&lt;&gt;"",M202&lt;&gt;"",N202&lt;&gt;"",Q202&lt;&gt;"",R202&lt;&gt;"",U202&lt;&gt;"",V202&lt;&gt;"",W202&lt;&gt;""),"PRONTO","PENDENTE"))</x:f>
      </x:c>
      <x:c r="AC202" s="214" t="str">
        <x:f>IF(A202="","",SUMIF('PARTICIPAÇÕES FONOGRAMA'!$A$5:$A$254,A202,'PARTICIPAÇÕES FONOGRAMA'!$I$5:$I$254))</x:f>
      </x:c>
      <x:c r="AD202" s="202" t="str">
        <x:f>IF(A202="","",IF(AC202=1,"OK 100%","CONFERIR"))</x:f>
      </x:c>
      <x:c r="AE202" s="142"/>
      <x:c r="AF202" s="142"/>
      <x:c r="AG202" s="142"/>
    </x:row>
    <x:row r="203" ht="19" customHeight="1">
      <x:c r="A203" s="142"/>
      <x:c r="B203" s="142"/>
      <x:c r="C203" s="142"/>
      <x:c r="D203" s="142"/>
      <x:c r="E203" s="142"/>
      <x:c r="F203" s="142"/>
      <x:c r="G203" s="142"/>
      <x:c r="H203" s="142"/>
      <x:c r="I203" s="142"/>
      <x:c r="J203" s="142"/>
      <x:c r="K203" s="142"/>
      <x:c r="L203" s="142"/>
      <x:c r="M203" s="208"/>
      <x:c r="N203" s="208"/>
      <x:c r="O203" s="142"/>
      <x:c r="P203" s="142"/>
      <x:c r="Q203" s="142"/>
      <x:c r="R203" s="142"/>
      <x:c r="S203" s="142"/>
      <x:c r="T203" s="142"/>
      <x:c r="U203" s="142"/>
      <x:c r="V203" s="220"/>
      <x:c r="W203" s="142"/>
      <x:c r="X203" s="208"/>
      <x:c r="Y203" s="208"/>
      <x:c r="Z203" s="142"/>
      <x:c r="AA203" s="142"/>
      <x:c r="AB203" s="202" t="str">
        <x:f>IF(A203="","",IF(AND(B203&lt;&gt;"",D203&lt;&gt;"",F203&lt;&gt;"",H203&lt;&gt;"",M203&lt;&gt;"",N203&lt;&gt;"",Q203&lt;&gt;"",R203&lt;&gt;"",U203&lt;&gt;"",V203&lt;&gt;"",W203&lt;&gt;""),"PRONTO","PENDENTE"))</x:f>
      </x:c>
      <x:c r="AC203" s="214" t="str">
        <x:f>IF(A203="","",SUMIF('PARTICIPAÇÕES FONOGRAMA'!$A$5:$A$254,A203,'PARTICIPAÇÕES FONOGRAMA'!$I$5:$I$254))</x:f>
      </x:c>
      <x:c r="AD203" s="202" t="str">
        <x:f>IF(A203="","",IF(AC203=1,"OK 100%","CONFERIR"))</x:f>
      </x:c>
      <x:c r="AE203" s="142"/>
      <x:c r="AF203" s="142"/>
      <x:c r="AG203" s="142"/>
    </x:row>
    <x:row r="204" ht="19" customHeight="1">
      <x:c r="A204" s="142"/>
      <x:c r="B204" s="142"/>
      <x:c r="C204" s="142"/>
      <x:c r="D204" s="142"/>
      <x:c r="E204" s="142"/>
      <x:c r="F204" s="142"/>
      <x:c r="G204" s="142"/>
      <x:c r="H204" s="142"/>
      <x:c r="I204" s="142"/>
      <x:c r="J204" s="142"/>
      <x:c r="K204" s="142"/>
      <x:c r="L204" s="142"/>
      <x:c r="M204" s="208"/>
      <x:c r="N204" s="208"/>
      <x:c r="O204" s="142"/>
      <x:c r="P204" s="142"/>
      <x:c r="Q204" s="142"/>
      <x:c r="R204" s="142"/>
      <x:c r="S204" s="142"/>
      <x:c r="T204" s="142"/>
      <x:c r="U204" s="142"/>
      <x:c r="V204" s="220"/>
      <x:c r="W204" s="142"/>
      <x:c r="X204" s="208"/>
      <x:c r="Y204" s="208"/>
      <x:c r="Z204" s="142"/>
      <x:c r="AA204" s="142"/>
      <x:c r="AB204" s="202" t="str">
        <x:f>IF(A204="","",IF(AND(B204&lt;&gt;"",D204&lt;&gt;"",F204&lt;&gt;"",H204&lt;&gt;"",M204&lt;&gt;"",N204&lt;&gt;"",Q204&lt;&gt;"",R204&lt;&gt;"",U204&lt;&gt;"",V204&lt;&gt;"",W204&lt;&gt;""),"PRONTO","PENDENTE"))</x:f>
      </x:c>
      <x:c r="AC204" s="214" t="str">
        <x:f>IF(A204="","",SUMIF('PARTICIPAÇÕES FONOGRAMA'!$A$5:$A$254,A204,'PARTICIPAÇÕES FONOGRAMA'!$I$5:$I$254))</x:f>
      </x:c>
      <x:c r="AD204" s="202" t="str">
        <x:f>IF(A204="","",IF(AC204=1,"OK 100%","CONFERIR"))</x:f>
      </x:c>
      <x:c r="AE204" s="142"/>
      <x:c r="AF204" s="142"/>
      <x:c r="AG204" s="142"/>
    </x:row>
    <x:row r="205" ht="19" customHeight="1">
      <x:c r="A205" s="142"/>
      <x:c r="B205" s="142"/>
      <x:c r="C205" s="142"/>
      <x:c r="D205" s="142"/>
      <x:c r="E205" s="142"/>
      <x:c r="F205" s="142"/>
      <x:c r="G205" s="142"/>
      <x:c r="H205" s="142"/>
      <x:c r="I205" s="142"/>
      <x:c r="J205" s="142"/>
      <x:c r="K205" s="142"/>
      <x:c r="L205" s="142"/>
      <x:c r="M205" s="208"/>
      <x:c r="N205" s="208"/>
      <x:c r="O205" s="142"/>
      <x:c r="P205" s="142"/>
      <x:c r="Q205" s="142"/>
      <x:c r="R205" s="142"/>
      <x:c r="S205" s="142"/>
      <x:c r="T205" s="142"/>
      <x:c r="U205" s="142"/>
      <x:c r="V205" s="220"/>
      <x:c r="W205" s="142"/>
      <x:c r="X205" s="208"/>
      <x:c r="Y205" s="208"/>
      <x:c r="Z205" s="142"/>
      <x:c r="AA205" s="142"/>
      <x:c r="AB205" s="202" t="str">
        <x:f>IF(A205="","",IF(AND(B205&lt;&gt;"",D205&lt;&gt;"",F205&lt;&gt;"",H205&lt;&gt;"",M205&lt;&gt;"",N205&lt;&gt;"",Q205&lt;&gt;"",R205&lt;&gt;"",U205&lt;&gt;"",V205&lt;&gt;"",W205&lt;&gt;""),"PRONTO","PENDENTE"))</x:f>
      </x:c>
      <x:c r="AC205" s="214" t="str">
        <x:f>IF(A205="","",SUMIF('PARTICIPAÇÕES FONOGRAMA'!$A$5:$A$254,A205,'PARTICIPAÇÕES FONOGRAMA'!$I$5:$I$254))</x:f>
      </x:c>
      <x:c r="AD205" s="202" t="str">
        <x:f>IF(A205="","",IF(AC205=1,"OK 100%","CONFERIR"))</x:f>
      </x:c>
      <x:c r="AE205" s="142"/>
      <x:c r="AF205" s="142"/>
      <x:c r="AG205" s="142"/>
    </x:row>
    <x:row r="206" ht="19" customHeight="1">
      <x:c r="A206" s="142"/>
      <x:c r="B206" s="142"/>
      <x:c r="C206" s="142"/>
      <x:c r="D206" s="142"/>
      <x:c r="E206" s="142"/>
      <x:c r="F206" s="142"/>
      <x:c r="G206" s="142"/>
      <x:c r="H206" s="142"/>
      <x:c r="I206" s="142"/>
      <x:c r="J206" s="142"/>
      <x:c r="K206" s="142"/>
      <x:c r="L206" s="142"/>
      <x:c r="M206" s="208"/>
      <x:c r="N206" s="208"/>
      <x:c r="O206" s="142"/>
      <x:c r="P206" s="142"/>
      <x:c r="Q206" s="142"/>
      <x:c r="R206" s="142"/>
      <x:c r="S206" s="142"/>
      <x:c r="T206" s="142"/>
      <x:c r="U206" s="142"/>
      <x:c r="V206" s="220"/>
      <x:c r="W206" s="142"/>
      <x:c r="X206" s="208"/>
      <x:c r="Y206" s="208"/>
      <x:c r="Z206" s="142"/>
      <x:c r="AA206" s="142"/>
      <x:c r="AB206" s="202" t="str">
        <x:f>IF(A206="","",IF(AND(B206&lt;&gt;"",D206&lt;&gt;"",F206&lt;&gt;"",H206&lt;&gt;"",M206&lt;&gt;"",N206&lt;&gt;"",Q206&lt;&gt;"",R206&lt;&gt;"",U206&lt;&gt;"",V206&lt;&gt;"",W206&lt;&gt;""),"PRONTO","PENDENTE"))</x:f>
      </x:c>
      <x:c r="AC206" s="214" t="str">
        <x:f>IF(A206="","",SUMIF('PARTICIPAÇÕES FONOGRAMA'!$A$5:$A$254,A206,'PARTICIPAÇÕES FONOGRAMA'!$I$5:$I$254))</x:f>
      </x:c>
      <x:c r="AD206" s="202" t="str">
        <x:f>IF(A206="","",IF(AC206=1,"OK 100%","CONFERIR"))</x:f>
      </x:c>
      <x:c r="AE206" s="142"/>
      <x:c r="AF206" s="142"/>
      <x:c r="AG206" s="142"/>
    </x:row>
    <x:row r="207" ht="19" customHeight="1">
      <x:c r="A207" s="142"/>
      <x:c r="B207" s="142"/>
      <x:c r="C207" s="142"/>
      <x:c r="D207" s="142"/>
      <x:c r="E207" s="142"/>
      <x:c r="F207" s="142"/>
      <x:c r="G207" s="142"/>
      <x:c r="H207" s="142"/>
      <x:c r="I207" s="142"/>
      <x:c r="J207" s="142"/>
      <x:c r="K207" s="142"/>
      <x:c r="L207" s="142"/>
      <x:c r="M207" s="208"/>
      <x:c r="N207" s="208"/>
      <x:c r="O207" s="142"/>
      <x:c r="P207" s="142"/>
      <x:c r="Q207" s="142"/>
      <x:c r="R207" s="142"/>
      <x:c r="S207" s="142"/>
      <x:c r="T207" s="142"/>
      <x:c r="U207" s="142"/>
      <x:c r="V207" s="220"/>
      <x:c r="W207" s="142"/>
      <x:c r="X207" s="208"/>
      <x:c r="Y207" s="208"/>
      <x:c r="Z207" s="142"/>
      <x:c r="AA207" s="142"/>
      <x:c r="AB207" s="202" t="str">
        <x:f>IF(A207="","",IF(AND(B207&lt;&gt;"",D207&lt;&gt;"",F207&lt;&gt;"",H207&lt;&gt;"",M207&lt;&gt;"",N207&lt;&gt;"",Q207&lt;&gt;"",R207&lt;&gt;"",U207&lt;&gt;"",V207&lt;&gt;"",W207&lt;&gt;""),"PRONTO","PENDENTE"))</x:f>
      </x:c>
      <x:c r="AC207" s="214" t="str">
        <x:f>IF(A207="","",SUMIF('PARTICIPAÇÕES FONOGRAMA'!$A$5:$A$254,A207,'PARTICIPAÇÕES FONOGRAMA'!$I$5:$I$254))</x:f>
      </x:c>
      <x:c r="AD207" s="202" t="str">
        <x:f>IF(A207="","",IF(AC207=1,"OK 100%","CONFERIR"))</x:f>
      </x:c>
      <x:c r="AE207" s="142"/>
      <x:c r="AF207" s="142"/>
      <x:c r="AG207" s="142"/>
    </x:row>
    <x:row r="208" ht="19" customHeight="1">
      <x:c r="A208" s="142"/>
      <x:c r="B208" s="142"/>
      <x:c r="C208" s="142"/>
      <x:c r="D208" s="142"/>
      <x:c r="E208" s="142"/>
      <x:c r="F208" s="142"/>
      <x:c r="G208" s="142"/>
      <x:c r="H208" s="142"/>
      <x:c r="I208" s="142"/>
      <x:c r="J208" s="142"/>
      <x:c r="K208" s="142"/>
      <x:c r="L208" s="142"/>
      <x:c r="M208" s="208"/>
      <x:c r="N208" s="208"/>
      <x:c r="O208" s="142"/>
      <x:c r="P208" s="142"/>
      <x:c r="Q208" s="142"/>
      <x:c r="R208" s="142"/>
      <x:c r="S208" s="142"/>
      <x:c r="T208" s="142"/>
      <x:c r="U208" s="142"/>
      <x:c r="V208" s="220"/>
      <x:c r="W208" s="142"/>
      <x:c r="X208" s="208"/>
      <x:c r="Y208" s="208"/>
      <x:c r="Z208" s="142"/>
      <x:c r="AA208" s="142"/>
      <x:c r="AB208" s="202" t="str">
        <x:f>IF(A208="","",IF(AND(B208&lt;&gt;"",D208&lt;&gt;"",F208&lt;&gt;"",H208&lt;&gt;"",M208&lt;&gt;"",N208&lt;&gt;"",Q208&lt;&gt;"",R208&lt;&gt;"",U208&lt;&gt;"",V208&lt;&gt;"",W208&lt;&gt;""),"PRONTO","PENDENTE"))</x:f>
      </x:c>
      <x:c r="AC208" s="214" t="str">
        <x:f>IF(A208="","",SUMIF('PARTICIPAÇÕES FONOGRAMA'!$A$5:$A$254,A208,'PARTICIPAÇÕES FONOGRAMA'!$I$5:$I$254))</x:f>
      </x:c>
      <x:c r="AD208" s="202" t="str">
        <x:f>IF(A208="","",IF(AC208=1,"OK 100%","CONFERIR"))</x:f>
      </x:c>
      <x:c r="AE208" s="142"/>
      <x:c r="AF208" s="142"/>
      <x:c r="AG208" s="142"/>
    </x:row>
    <x:row r="209" ht="19" customHeight="1">
      <x:c r="A209" s="142"/>
      <x:c r="B209" s="142"/>
      <x:c r="C209" s="142"/>
      <x:c r="D209" s="142"/>
      <x:c r="E209" s="142"/>
      <x:c r="F209" s="142"/>
      <x:c r="G209" s="142"/>
      <x:c r="H209" s="142"/>
      <x:c r="I209" s="142"/>
      <x:c r="J209" s="142"/>
      <x:c r="K209" s="142"/>
      <x:c r="L209" s="142"/>
      <x:c r="M209" s="208"/>
      <x:c r="N209" s="208"/>
      <x:c r="O209" s="142"/>
      <x:c r="P209" s="142"/>
      <x:c r="Q209" s="142"/>
      <x:c r="R209" s="142"/>
      <x:c r="S209" s="142"/>
      <x:c r="T209" s="142"/>
      <x:c r="U209" s="142"/>
      <x:c r="V209" s="220"/>
      <x:c r="W209" s="142"/>
      <x:c r="X209" s="208"/>
      <x:c r="Y209" s="208"/>
      <x:c r="Z209" s="142"/>
      <x:c r="AA209" s="142"/>
      <x:c r="AB209" s="202" t="str">
        <x:f>IF(A209="","",IF(AND(B209&lt;&gt;"",D209&lt;&gt;"",F209&lt;&gt;"",H209&lt;&gt;"",M209&lt;&gt;"",N209&lt;&gt;"",Q209&lt;&gt;"",R209&lt;&gt;"",U209&lt;&gt;"",V209&lt;&gt;"",W209&lt;&gt;""),"PRONTO","PENDENTE"))</x:f>
      </x:c>
      <x:c r="AC209" s="214" t="str">
        <x:f>IF(A209="","",SUMIF('PARTICIPAÇÕES FONOGRAMA'!$A$5:$A$254,A209,'PARTICIPAÇÕES FONOGRAMA'!$I$5:$I$254))</x:f>
      </x:c>
      <x:c r="AD209" s="202" t="str">
        <x:f>IF(A209="","",IF(AC209=1,"OK 100%","CONFERIR"))</x:f>
      </x:c>
      <x:c r="AE209" s="142"/>
      <x:c r="AF209" s="142"/>
      <x:c r="AG209" s="142"/>
    </x:row>
    <x:row r="210" ht="19" customHeight="1">
      <x:c r="A210" s="142"/>
      <x:c r="B210" s="142"/>
      <x:c r="C210" s="142"/>
      <x:c r="D210" s="142"/>
      <x:c r="E210" s="142"/>
      <x:c r="F210" s="142"/>
      <x:c r="G210" s="142"/>
      <x:c r="H210" s="142"/>
      <x:c r="I210" s="142"/>
      <x:c r="J210" s="142"/>
      <x:c r="K210" s="142"/>
      <x:c r="L210" s="142"/>
      <x:c r="M210" s="208"/>
      <x:c r="N210" s="208"/>
      <x:c r="O210" s="142"/>
      <x:c r="P210" s="142"/>
      <x:c r="Q210" s="142"/>
      <x:c r="R210" s="142"/>
      <x:c r="S210" s="142"/>
      <x:c r="T210" s="142"/>
      <x:c r="U210" s="142"/>
      <x:c r="V210" s="220"/>
      <x:c r="W210" s="142"/>
      <x:c r="X210" s="208"/>
      <x:c r="Y210" s="208"/>
      <x:c r="Z210" s="142"/>
      <x:c r="AA210" s="142"/>
      <x:c r="AB210" s="202" t="str">
        <x:f>IF(A210="","",IF(AND(B210&lt;&gt;"",D210&lt;&gt;"",F210&lt;&gt;"",H210&lt;&gt;"",M210&lt;&gt;"",N210&lt;&gt;"",Q210&lt;&gt;"",R210&lt;&gt;"",U210&lt;&gt;"",V210&lt;&gt;"",W210&lt;&gt;""),"PRONTO","PENDENTE"))</x:f>
      </x:c>
      <x:c r="AC210" s="214" t="str">
        <x:f>IF(A210="","",SUMIF('PARTICIPAÇÕES FONOGRAMA'!$A$5:$A$254,A210,'PARTICIPAÇÕES FONOGRAMA'!$I$5:$I$254))</x:f>
      </x:c>
      <x:c r="AD210" s="202" t="str">
        <x:f>IF(A210="","",IF(AC210=1,"OK 100%","CONFERIR"))</x:f>
      </x:c>
      <x:c r="AE210" s="142"/>
      <x:c r="AF210" s="142"/>
      <x:c r="AG210" s="142"/>
    </x:row>
    <x:row r="211" ht="19" customHeight="1">
      <x:c r="A211" s="142"/>
      <x:c r="B211" s="142"/>
      <x:c r="C211" s="142"/>
      <x:c r="D211" s="142"/>
      <x:c r="E211" s="142"/>
      <x:c r="F211" s="142"/>
      <x:c r="G211" s="142"/>
      <x:c r="H211" s="142"/>
      <x:c r="I211" s="142"/>
      <x:c r="J211" s="142"/>
      <x:c r="K211" s="142"/>
      <x:c r="L211" s="142"/>
      <x:c r="M211" s="208"/>
      <x:c r="N211" s="208"/>
      <x:c r="O211" s="142"/>
      <x:c r="P211" s="142"/>
      <x:c r="Q211" s="142"/>
      <x:c r="R211" s="142"/>
      <x:c r="S211" s="142"/>
      <x:c r="T211" s="142"/>
      <x:c r="U211" s="142"/>
      <x:c r="V211" s="220"/>
      <x:c r="W211" s="142"/>
      <x:c r="X211" s="208"/>
      <x:c r="Y211" s="208"/>
      <x:c r="Z211" s="142"/>
      <x:c r="AA211" s="142"/>
      <x:c r="AB211" s="202" t="str">
        <x:f>IF(A211="","",IF(AND(B211&lt;&gt;"",D211&lt;&gt;"",F211&lt;&gt;"",H211&lt;&gt;"",M211&lt;&gt;"",N211&lt;&gt;"",Q211&lt;&gt;"",R211&lt;&gt;"",U211&lt;&gt;"",V211&lt;&gt;"",W211&lt;&gt;""),"PRONTO","PENDENTE"))</x:f>
      </x:c>
      <x:c r="AC211" s="214" t="str">
        <x:f>IF(A211="","",SUMIF('PARTICIPAÇÕES FONOGRAMA'!$A$5:$A$254,A211,'PARTICIPAÇÕES FONOGRAMA'!$I$5:$I$254))</x:f>
      </x:c>
      <x:c r="AD211" s="202" t="str">
        <x:f>IF(A211="","",IF(AC211=1,"OK 100%","CONFERIR"))</x:f>
      </x:c>
      <x:c r="AE211" s="142"/>
      <x:c r="AF211" s="142"/>
      <x:c r="AG211" s="142"/>
    </x:row>
    <x:row r="212" ht="19" customHeight="1">
      <x:c r="A212" s="142"/>
      <x:c r="B212" s="142"/>
      <x:c r="C212" s="142"/>
      <x:c r="D212" s="142"/>
      <x:c r="E212" s="142"/>
      <x:c r="F212" s="142"/>
      <x:c r="G212" s="142"/>
      <x:c r="H212" s="142"/>
      <x:c r="I212" s="142"/>
      <x:c r="J212" s="142"/>
      <x:c r="K212" s="142"/>
      <x:c r="L212" s="142"/>
      <x:c r="M212" s="208"/>
      <x:c r="N212" s="208"/>
      <x:c r="O212" s="142"/>
      <x:c r="P212" s="142"/>
      <x:c r="Q212" s="142"/>
      <x:c r="R212" s="142"/>
      <x:c r="S212" s="142"/>
      <x:c r="T212" s="142"/>
      <x:c r="U212" s="142"/>
      <x:c r="V212" s="220"/>
      <x:c r="W212" s="142"/>
      <x:c r="X212" s="208"/>
      <x:c r="Y212" s="208"/>
      <x:c r="Z212" s="142"/>
      <x:c r="AA212" s="142"/>
      <x:c r="AB212" s="202" t="str">
        <x:f>IF(A212="","",IF(AND(B212&lt;&gt;"",D212&lt;&gt;"",F212&lt;&gt;"",H212&lt;&gt;"",M212&lt;&gt;"",N212&lt;&gt;"",Q212&lt;&gt;"",R212&lt;&gt;"",U212&lt;&gt;"",V212&lt;&gt;"",W212&lt;&gt;""),"PRONTO","PENDENTE"))</x:f>
      </x:c>
      <x:c r="AC212" s="214" t="str">
        <x:f>IF(A212="","",SUMIF('PARTICIPAÇÕES FONOGRAMA'!$A$5:$A$254,A212,'PARTICIPAÇÕES FONOGRAMA'!$I$5:$I$254))</x:f>
      </x:c>
      <x:c r="AD212" s="202" t="str">
        <x:f>IF(A212="","",IF(AC212=1,"OK 100%","CONFERIR"))</x:f>
      </x:c>
      <x:c r="AE212" s="142"/>
      <x:c r="AF212" s="142"/>
      <x:c r="AG212" s="142"/>
    </x:row>
    <x:row r="213" ht="19" customHeight="1">
      <x:c r="A213" s="142"/>
      <x:c r="B213" s="142"/>
      <x:c r="C213" s="142"/>
      <x:c r="D213" s="142"/>
      <x:c r="E213" s="142"/>
      <x:c r="F213" s="142"/>
      <x:c r="G213" s="142"/>
      <x:c r="H213" s="142"/>
      <x:c r="I213" s="142"/>
      <x:c r="J213" s="142"/>
      <x:c r="K213" s="142"/>
      <x:c r="L213" s="142"/>
      <x:c r="M213" s="208"/>
      <x:c r="N213" s="208"/>
      <x:c r="O213" s="142"/>
      <x:c r="P213" s="142"/>
      <x:c r="Q213" s="142"/>
      <x:c r="R213" s="142"/>
      <x:c r="S213" s="142"/>
      <x:c r="T213" s="142"/>
      <x:c r="U213" s="142"/>
      <x:c r="V213" s="220"/>
      <x:c r="W213" s="142"/>
      <x:c r="X213" s="208"/>
      <x:c r="Y213" s="208"/>
      <x:c r="Z213" s="142"/>
      <x:c r="AA213" s="142"/>
      <x:c r="AB213" s="202" t="str">
        <x:f>IF(A213="","",IF(AND(B213&lt;&gt;"",D213&lt;&gt;"",F213&lt;&gt;"",H213&lt;&gt;"",M213&lt;&gt;"",N213&lt;&gt;"",Q213&lt;&gt;"",R213&lt;&gt;"",U213&lt;&gt;"",V213&lt;&gt;"",W213&lt;&gt;""),"PRONTO","PENDENTE"))</x:f>
      </x:c>
      <x:c r="AC213" s="214" t="str">
        <x:f>IF(A213="","",SUMIF('PARTICIPAÇÕES FONOGRAMA'!$A$5:$A$254,A213,'PARTICIPAÇÕES FONOGRAMA'!$I$5:$I$254))</x:f>
      </x:c>
      <x:c r="AD213" s="202" t="str">
        <x:f>IF(A213="","",IF(AC213=1,"OK 100%","CONFERIR"))</x:f>
      </x:c>
      <x:c r="AE213" s="142"/>
      <x:c r="AF213" s="142"/>
      <x:c r="AG213" s="142"/>
    </x:row>
    <x:row r="214" ht="19" customHeight="1">
      <x:c r="A214" s="142"/>
      <x:c r="B214" s="142"/>
      <x:c r="C214" s="142"/>
      <x:c r="D214" s="142"/>
      <x:c r="E214" s="142"/>
      <x:c r="F214" s="142"/>
      <x:c r="G214" s="142"/>
      <x:c r="H214" s="142"/>
      <x:c r="I214" s="142"/>
      <x:c r="J214" s="142"/>
      <x:c r="K214" s="142"/>
      <x:c r="L214" s="142"/>
      <x:c r="M214" s="208"/>
      <x:c r="N214" s="208"/>
      <x:c r="O214" s="142"/>
      <x:c r="P214" s="142"/>
      <x:c r="Q214" s="142"/>
      <x:c r="R214" s="142"/>
      <x:c r="S214" s="142"/>
      <x:c r="T214" s="142"/>
      <x:c r="U214" s="142"/>
      <x:c r="V214" s="220"/>
      <x:c r="W214" s="142"/>
      <x:c r="X214" s="208"/>
      <x:c r="Y214" s="208"/>
      <x:c r="Z214" s="142"/>
      <x:c r="AA214" s="142"/>
      <x:c r="AB214" s="202" t="str">
        <x:f>IF(A214="","",IF(AND(B214&lt;&gt;"",D214&lt;&gt;"",F214&lt;&gt;"",H214&lt;&gt;"",M214&lt;&gt;"",N214&lt;&gt;"",Q214&lt;&gt;"",R214&lt;&gt;"",U214&lt;&gt;"",V214&lt;&gt;"",W214&lt;&gt;""),"PRONTO","PENDENTE"))</x:f>
      </x:c>
      <x:c r="AC214" s="214" t="str">
        <x:f>IF(A214="","",SUMIF('PARTICIPAÇÕES FONOGRAMA'!$A$5:$A$254,A214,'PARTICIPAÇÕES FONOGRAMA'!$I$5:$I$254))</x:f>
      </x:c>
      <x:c r="AD214" s="202" t="str">
        <x:f>IF(A214="","",IF(AC214=1,"OK 100%","CONFERIR"))</x:f>
      </x:c>
      <x:c r="AE214" s="142"/>
      <x:c r="AF214" s="142"/>
      <x:c r="AG214" s="142"/>
    </x:row>
    <x:row r="215" ht="19" customHeight="1">
      <x:c r="A215" s="142"/>
      <x:c r="B215" s="142"/>
      <x:c r="C215" s="142"/>
      <x:c r="D215" s="142"/>
      <x:c r="E215" s="142"/>
      <x:c r="F215" s="142"/>
      <x:c r="G215" s="142"/>
      <x:c r="H215" s="142"/>
      <x:c r="I215" s="142"/>
      <x:c r="J215" s="142"/>
      <x:c r="K215" s="142"/>
      <x:c r="L215" s="142"/>
      <x:c r="M215" s="208"/>
      <x:c r="N215" s="208"/>
      <x:c r="O215" s="142"/>
      <x:c r="P215" s="142"/>
      <x:c r="Q215" s="142"/>
      <x:c r="R215" s="142"/>
      <x:c r="S215" s="142"/>
      <x:c r="T215" s="142"/>
      <x:c r="U215" s="142"/>
      <x:c r="V215" s="220"/>
      <x:c r="W215" s="142"/>
      <x:c r="X215" s="208"/>
      <x:c r="Y215" s="208"/>
      <x:c r="Z215" s="142"/>
      <x:c r="AA215" s="142"/>
      <x:c r="AB215" s="202" t="str">
        <x:f>IF(A215="","",IF(AND(B215&lt;&gt;"",D215&lt;&gt;"",F215&lt;&gt;"",H215&lt;&gt;"",M215&lt;&gt;"",N215&lt;&gt;"",Q215&lt;&gt;"",R215&lt;&gt;"",U215&lt;&gt;"",V215&lt;&gt;"",W215&lt;&gt;""),"PRONTO","PENDENTE"))</x:f>
      </x:c>
      <x:c r="AC215" s="214" t="str">
        <x:f>IF(A215="","",SUMIF('PARTICIPAÇÕES FONOGRAMA'!$A$5:$A$254,A215,'PARTICIPAÇÕES FONOGRAMA'!$I$5:$I$254))</x:f>
      </x:c>
      <x:c r="AD215" s="202" t="str">
        <x:f>IF(A215="","",IF(AC215=1,"OK 100%","CONFERIR"))</x:f>
      </x:c>
      <x:c r="AE215" s="142"/>
      <x:c r="AF215" s="142"/>
      <x:c r="AG215" s="142"/>
    </x:row>
    <x:row r="216" ht="19" customHeight="1">
      <x:c r="A216" s="142"/>
      <x:c r="B216" s="142"/>
      <x:c r="C216" s="142"/>
      <x:c r="D216" s="142"/>
      <x:c r="E216" s="142"/>
      <x:c r="F216" s="142"/>
      <x:c r="G216" s="142"/>
      <x:c r="H216" s="142"/>
      <x:c r="I216" s="142"/>
      <x:c r="J216" s="142"/>
      <x:c r="K216" s="142"/>
      <x:c r="L216" s="142"/>
      <x:c r="M216" s="208"/>
      <x:c r="N216" s="208"/>
      <x:c r="O216" s="142"/>
      <x:c r="P216" s="142"/>
      <x:c r="Q216" s="142"/>
      <x:c r="R216" s="142"/>
      <x:c r="S216" s="142"/>
      <x:c r="T216" s="142"/>
      <x:c r="U216" s="142"/>
      <x:c r="V216" s="220"/>
      <x:c r="W216" s="142"/>
      <x:c r="X216" s="208"/>
      <x:c r="Y216" s="208"/>
      <x:c r="Z216" s="142"/>
      <x:c r="AA216" s="142"/>
      <x:c r="AB216" s="202" t="str">
        <x:f>IF(A216="","",IF(AND(B216&lt;&gt;"",D216&lt;&gt;"",F216&lt;&gt;"",H216&lt;&gt;"",M216&lt;&gt;"",N216&lt;&gt;"",Q216&lt;&gt;"",R216&lt;&gt;"",U216&lt;&gt;"",V216&lt;&gt;"",W216&lt;&gt;""),"PRONTO","PENDENTE"))</x:f>
      </x:c>
      <x:c r="AC216" s="214" t="str">
        <x:f>IF(A216="","",SUMIF('PARTICIPAÇÕES FONOGRAMA'!$A$5:$A$254,A216,'PARTICIPAÇÕES FONOGRAMA'!$I$5:$I$254))</x:f>
      </x:c>
      <x:c r="AD216" s="202" t="str">
        <x:f>IF(A216="","",IF(AC216=1,"OK 100%","CONFERIR"))</x:f>
      </x:c>
      <x:c r="AE216" s="142"/>
      <x:c r="AF216" s="142"/>
      <x:c r="AG216" s="142"/>
    </x:row>
    <x:row r="217" ht="19" customHeight="1">
      <x:c r="A217" s="142"/>
      <x:c r="B217" s="142"/>
      <x:c r="C217" s="142"/>
      <x:c r="D217" s="142"/>
      <x:c r="E217" s="142"/>
      <x:c r="F217" s="142"/>
      <x:c r="G217" s="142"/>
      <x:c r="H217" s="142"/>
      <x:c r="I217" s="142"/>
      <x:c r="J217" s="142"/>
      <x:c r="K217" s="142"/>
      <x:c r="L217" s="142"/>
      <x:c r="M217" s="208"/>
      <x:c r="N217" s="208"/>
      <x:c r="O217" s="142"/>
      <x:c r="P217" s="142"/>
      <x:c r="Q217" s="142"/>
      <x:c r="R217" s="142"/>
      <x:c r="S217" s="142"/>
      <x:c r="T217" s="142"/>
      <x:c r="U217" s="142"/>
      <x:c r="V217" s="220"/>
      <x:c r="W217" s="142"/>
      <x:c r="X217" s="208"/>
      <x:c r="Y217" s="208"/>
      <x:c r="Z217" s="142"/>
      <x:c r="AA217" s="142"/>
      <x:c r="AB217" s="202" t="str">
        <x:f>IF(A217="","",IF(AND(B217&lt;&gt;"",D217&lt;&gt;"",F217&lt;&gt;"",H217&lt;&gt;"",M217&lt;&gt;"",N217&lt;&gt;"",Q217&lt;&gt;"",R217&lt;&gt;"",U217&lt;&gt;"",V217&lt;&gt;"",W217&lt;&gt;""),"PRONTO","PENDENTE"))</x:f>
      </x:c>
      <x:c r="AC217" s="214" t="str">
        <x:f>IF(A217="","",SUMIF('PARTICIPAÇÕES FONOGRAMA'!$A$5:$A$254,A217,'PARTICIPAÇÕES FONOGRAMA'!$I$5:$I$254))</x:f>
      </x:c>
      <x:c r="AD217" s="202" t="str">
        <x:f>IF(A217="","",IF(AC217=1,"OK 100%","CONFERIR"))</x:f>
      </x:c>
      <x:c r="AE217" s="142"/>
      <x:c r="AF217" s="142"/>
      <x:c r="AG217" s="142"/>
    </x:row>
    <x:row r="218" ht="19" customHeight="1">
      <x:c r="A218" s="142"/>
      <x:c r="B218" s="142"/>
      <x:c r="C218" s="142"/>
      <x:c r="D218" s="142"/>
      <x:c r="E218" s="142"/>
      <x:c r="F218" s="142"/>
      <x:c r="G218" s="142"/>
      <x:c r="H218" s="142"/>
      <x:c r="I218" s="142"/>
      <x:c r="J218" s="142"/>
      <x:c r="K218" s="142"/>
      <x:c r="L218" s="142"/>
      <x:c r="M218" s="208"/>
      <x:c r="N218" s="208"/>
      <x:c r="O218" s="142"/>
      <x:c r="P218" s="142"/>
      <x:c r="Q218" s="142"/>
      <x:c r="R218" s="142"/>
      <x:c r="S218" s="142"/>
      <x:c r="T218" s="142"/>
      <x:c r="U218" s="142"/>
      <x:c r="V218" s="220"/>
      <x:c r="W218" s="142"/>
      <x:c r="X218" s="208"/>
      <x:c r="Y218" s="208"/>
      <x:c r="Z218" s="142"/>
      <x:c r="AA218" s="142"/>
      <x:c r="AB218" s="202" t="str">
        <x:f>IF(A218="","",IF(AND(B218&lt;&gt;"",D218&lt;&gt;"",F218&lt;&gt;"",H218&lt;&gt;"",M218&lt;&gt;"",N218&lt;&gt;"",Q218&lt;&gt;"",R218&lt;&gt;"",U218&lt;&gt;"",V218&lt;&gt;"",W218&lt;&gt;""),"PRONTO","PENDENTE"))</x:f>
      </x:c>
      <x:c r="AC218" s="214" t="str">
        <x:f>IF(A218="","",SUMIF('PARTICIPAÇÕES FONOGRAMA'!$A$5:$A$254,A218,'PARTICIPAÇÕES FONOGRAMA'!$I$5:$I$254))</x:f>
      </x:c>
      <x:c r="AD218" s="202" t="str">
        <x:f>IF(A218="","",IF(AC218=1,"OK 100%","CONFERIR"))</x:f>
      </x:c>
      <x:c r="AE218" s="142"/>
      <x:c r="AF218" s="142"/>
      <x:c r="AG218" s="142"/>
    </x:row>
    <x:row r="219" ht="19" customHeight="1">
      <x:c r="A219" s="142"/>
      <x:c r="B219" s="142"/>
      <x:c r="C219" s="142"/>
      <x:c r="D219" s="142"/>
      <x:c r="E219" s="142"/>
      <x:c r="F219" s="142"/>
      <x:c r="G219" s="142"/>
      <x:c r="H219" s="142"/>
      <x:c r="I219" s="142"/>
      <x:c r="J219" s="142"/>
      <x:c r="K219" s="142"/>
      <x:c r="L219" s="142"/>
      <x:c r="M219" s="208"/>
      <x:c r="N219" s="208"/>
      <x:c r="O219" s="142"/>
      <x:c r="P219" s="142"/>
      <x:c r="Q219" s="142"/>
      <x:c r="R219" s="142"/>
      <x:c r="S219" s="142"/>
      <x:c r="T219" s="142"/>
      <x:c r="U219" s="142"/>
      <x:c r="V219" s="220"/>
      <x:c r="W219" s="142"/>
      <x:c r="X219" s="208"/>
      <x:c r="Y219" s="208"/>
      <x:c r="Z219" s="142"/>
      <x:c r="AA219" s="142"/>
      <x:c r="AB219" s="202" t="str">
        <x:f>IF(A219="","",IF(AND(B219&lt;&gt;"",D219&lt;&gt;"",F219&lt;&gt;"",H219&lt;&gt;"",M219&lt;&gt;"",N219&lt;&gt;"",Q219&lt;&gt;"",R219&lt;&gt;"",U219&lt;&gt;"",V219&lt;&gt;"",W219&lt;&gt;""),"PRONTO","PENDENTE"))</x:f>
      </x:c>
      <x:c r="AC219" s="214" t="str">
        <x:f>IF(A219="","",SUMIF('PARTICIPAÇÕES FONOGRAMA'!$A$5:$A$254,A219,'PARTICIPAÇÕES FONOGRAMA'!$I$5:$I$254))</x:f>
      </x:c>
      <x:c r="AD219" s="202" t="str">
        <x:f>IF(A219="","",IF(AC219=1,"OK 100%","CONFERIR"))</x:f>
      </x:c>
      <x:c r="AE219" s="142"/>
      <x:c r="AF219" s="142"/>
      <x:c r="AG219" s="142"/>
    </x:row>
    <x:row r="220" ht="19" customHeight="1">
      <x:c r="A220" s="142"/>
      <x:c r="B220" s="142"/>
      <x:c r="C220" s="142"/>
      <x:c r="D220" s="142"/>
      <x:c r="E220" s="142"/>
      <x:c r="F220" s="142"/>
      <x:c r="G220" s="142"/>
      <x:c r="H220" s="142"/>
      <x:c r="I220" s="142"/>
      <x:c r="J220" s="142"/>
      <x:c r="K220" s="142"/>
      <x:c r="L220" s="142"/>
      <x:c r="M220" s="208"/>
      <x:c r="N220" s="208"/>
      <x:c r="O220" s="142"/>
      <x:c r="P220" s="142"/>
      <x:c r="Q220" s="142"/>
      <x:c r="R220" s="142"/>
      <x:c r="S220" s="142"/>
      <x:c r="T220" s="142"/>
      <x:c r="U220" s="142"/>
      <x:c r="V220" s="220"/>
      <x:c r="W220" s="142"/>
      <x:c r="X220" s="208"/>
      <x:c r="Y220" s="208"/>
      <x:c r="Z220" s="142"/>
      <x:c r="AA220" s="142"/>
      <x:c r="AB220" s="202" t="str">
        <x:f>IF(A220="","",IF(AND(B220&lt;&gt;"",D220&lt;&gt;"",F220&lt;&gt;"",H220&lt;&gt;"",M220&lt;&gt;"",N220&lt;&gt;"",Q220&lt;&gt;"",R220&lt;&gt;"",U220&lt;&gt;"",V220&lt;&gt;"",W220&lt;&gt;""),"PRONTO","PENDENTE"))</x:f>
      </x:c>
      <x:c r="AC220" s="214" t="str">
        <x:f>IF(A220="","",SUMIF('PARTICIPAÇÕES FONOGRAMA'!$A$5:$A$254,A220,'PARTICIPAÇÕES FONOGRAMA'!$I$5:$I$254))</x:f>
      </x:c>
      <x:c r="AD220" s="202" t="str">
        <x:f>IF(A220="","",IF(AC220=1,"OK 100%","CONFERIR"))</x:f>
      </x:c>
      <x:c r="AE220" s="142"/>
      <x:c r="AF220" s="142"/>
      <x:c r="AG220" s="142"/>
    </x:row>
    <x:row r="221" ht="19" customHeight="1">
      <x:c r="A221" s="142"/>
      <x:c r="B221" s="142"/>
      <x:c r="C221" s="142"/>
      <x:c r="D221" s="142"/>
      <x:c r="E221" s="142"/>
      <x:c r="F221" s="142"/>
      <x:c r="G221" s="142"/>
      <x:c r="H221" s="142"/>
      <x:c r="I221" s="142"/>
      <x:c r="J221" s="142"/>
      <x:c r="K221" s="142"/>
      <x:c r="L221" s="142"/>
      <x:c r="M221" s="208"/>
      <x:c r="N221" s="208"/>
      <x:c r="O221" s="142"/>
      <x:c r="P221" s="142"/>
      <x:c r="Q221" s="142"/>
      <x:c r="R221" s="142"/>
      <x:c r="S221" s="142"/>
      <x:c r="T221" s="142"/>
      <x:c r="U221" s="142"/>
      <x:c r="V221" s="220"/>
      <x:c r="W221" s="142"/>
      <x:c r="X221" s="208"/>
      <x:c r="Y221" s="208"/>
      <x:c r="Z221" s="142"/>
      <x:c r="AA221" s="142"/>
      <x:c r="AB221" s="202" t="str">
        <x:f>IF(A221="","",IF(AND(B221&lt;&gt;"",D221&lt;&gt;"",F221&lt;&gt;"",H221&lt;&gt;"",M221&lt;&gt;"",N221&lt;&gt;"",Q221&lt;&gt;"",R221&lt;&gt;"",U221&lt;&gt;"",V221&lt;&gt;"",W221&lt;&gt;""),"PRONTO","PENDENTE"))</x:f>
      </x:c>
      <x:c r="AC221" s="214" t="str">
        <x:f>IF(A221="","",SUMIF('PARTICIPAÇÕES FONOGRAMA'!$A$5:$A$254,A221,'PARTICIPAÇÕES FONOGRAMA'!$I$5:$I$254))</x:f>
      </x:c>
      <x:c r="AD221" s="202" t="str">
        <x:f>IF(A221="","",IF(AC221=1,"OK 100%","CONFERIR"))</x:f>
      </x:c>
      <x:c r="AE221" s="142"/>
      <x:c r="AF221" s="142"/>
      <x:c r="AG221" s="142"/>
    </x:row>
    <x:row r="222" ht="19" customHeight="1">
      <x:c r="A222" s="142"/>
      <x:c r="B222" s="142"/>
      <x:c r="C222" s="142"/>
      <x:c r="D222" s="142"/>
      <x:c r="E222" s="142"/>
      <x:c r="F222" s="142"/>
      <x:c r="G222" s="142"/>
      <x:c r="H222" s="142"/>
      <x:c r="I222" s="142"/>
      <x:c r="J222" s="142"/>
      <x:c r="K222" s="142"/>
      <x:c r="L222" s="142"/>
      <x:c r="M222" s="208"/>
      <x:c r="N222" s="208"/>
      <x:c r="O222" s="142"/>
      <x:c r="P222" s="142"/>
      <x:c r="Q222" s="142"/>
      <x:c r="R222" s="142"/>
      <x:c r="S222" s="142"/>
      <x:c r="T222" s="142"/>
      <x:c r="U222" s="142"/>
      <x:c r="V222" s="220"/>
      <x:c r="W222" s="142"/>
      <x:c r="X222" s="208"/>
      <x:c r="Y222" s="208"/>
      <x:c r="Z222" s="142"/>
      <x:c r="AA222" s="142"/>
      <x:c r="AB222" s="202" t="str">
        <x:f>IF(A222="","",IF(AND(B222&lt;&gt;"",D222&lt;&gt;"",F222&lt;&gt;"",H222&lt;&gt;"",M222&lt;&gt;"",N222&lt;&gt;"",Q222&lt;&gt;"",R222&lt;&gt;"",U222&lt;&gt;"",V222&lt;&gt;"",W222&lt;&gt;""),"PRONTO","PENDENTE"))</x:f>
      </x:c>
      <x:c r="AC222" s="214" t="str">
        <x:f>IF(A222="","",SUMIF('PARTICIPAÇÕES FONOGRAMA'!$A$5:$A$254,A222,'PARTICIPAÇÕES FONOGRAMA'!$I$5:$I$254))</x:f>
      </x:c>
      <x:c r="AD222" s="202" t="str">
        <x:f>IF(A222="","",IF(AC222=1,"OK 100%","CONFERIR"))</x:f>
      </x:c>
      <x:c r="AE222" s="142"/>
      <x:c r="AF222" s="142"/>
      <x:c r="AG222" s="142"/>
    </x:row>
    <x:row r="223" ht="19" customHeight="1">
      <x:c r="A223" s="142"/>
      <x:c r="B223" s="142"/>
      <x:c r="C223" s="142"/>
      <x:c r="D223" s="142"/>
      <x:c r="E223" s="142"/>
      <x:c r="F223" s="142"/>
      <x:c r="G223" s="142"/>
      <x:c r="H223" s="142"/>
      <x:c r="I223" s="142"/>
      <x:c r="J223" s="142"/>
      <x:c r="K223" s="142"/>
      <x:c r="L223" s="142"/>
      <x:c r="M223" s="208"/>
      <x:c r="N223" s="208"/>
      <x:c r="O223" s="142"/>
      <x:c r="P223" s="142"/>
      <x:c r="Q223" s="142"/>
      <x:c r="R223" s="142"/>
      <x:c r="S223" s="142"/>
      <x:c r="T223" s="142"/>
      <x:c r="U223" s="142"/>
      <x:c r="V223" s="220"/>
      <x:c r="W223" s="142"/>
      <x:c r="X223" s="208"/>
      <x:c r="Y223" s="208"/>
      <x:c r="Z223" s="142"/>
      <x:c r="AA223" s="142"/>
      <x:c r="AB223" s="202" t="str">
        <x:f>IF(A223="","",IF(AND(B223&lt;&gt;"",D223&lt;&gt;"",F223&lt;&gt;"",H223&lt;&gt;"",M223&lt;&gt;"",N223&lt;&gt;"",Q223&lt;&gt;"",R223&lt;&gt;"",U223&lt;&gt;"",V223&lt;&gt;"",W223&lt;&gt;""),"PRONTO","PENDENTE"))</x:f>
      </x:c>
      <x:c r="AC223" s="214" t="str">
        <x:f>IF(A223="","",SUMIF('PARTICIPAÇÕES FONOGRAMA'!$A$5:$A$254,A223,'PARTICIPAÇÕES FONOGRAMA'!$I$5:$I$254))</x:f>
      </x:c>
      <x:c r="AD223" s="202" t="str">
        <x:f>IF(A223="","",IF(AC223=1,"OK 100%","CONFERIR"))</x:f>
      </x:c>
      <x:c r="AE223" s="142"/>
      <x:c r="AF223" s="142"/>
      <x:c r="AG223" s="142"/>
    </x:row>
    <x:row r="224" ht="19" customHeight="1">
      <x:c r="A224" s="142"/>
      <x:c r="B224" s="142"/>
      <x:c r="C224" s="142"/>
      <x:c r="D224" s="142"/>
      <x:c r="E224" s="142"/>
      <x:c r="F224" s="142"/>
      <x:c r="G224" s="142"/>
      <x:c r="H224" s="142"/>
      <x:c r="I224" s="142"/>
      <x:c r="J224" s="142"/>
      <x:c r="K224" s="142"/>
      <x:c r="L224" s="142"/>
      <x:c r="M224" s="208"/>
      <x:c r="N224" s="208"/>
      <x:c r="O224" s="142"/>
      <x:c r="P224" s="142"/>
      <x:c r="Q224" s="142"/>
      <x:c r="R224" s="142"/>
      <x:c r="S224" s="142"/>
      <x:c r="T224" s="142"/>
      <x:c r="U224" s="142"/>
      <x:c r="V224" s="220"/>
      <x:c r="W224" s="142"/>
      <x:c r="X224" s="208"/>
      <x:c r="Y224" s="208"/>
      <x:c r="Z224" s="142"/>
      <x:c r="AA224" s="142"/>
      <x:c r="AB224" s="202" t="str">
        <x:f>IF(A224="","",IF(AND(B224&lt;&gt;"",D224&lt;&gt;"",F224&lt;&gt;"",H224&lt;&gt;"",M224&lt;&gt;"",N224&lt;&gt;"",Q224&lt;&gt;"",R224&lt;&gt;"",U224&lt;&gt;"",V224&lt;&gt;"",W224&lt;&gt;""),"PRONTO","PENDENTE"))</x:f>
      </x:c>
      <x:c r="AC224" s="214" t="str">
        <x:f>IF(A224="","",SUMIF('PARTICIPAÇÕES FONOGRAMA'!$A$5:$A$254,A224,'PARTICIPAÇÕES FONOGRAMA'!$I$5:$I$254))</x:f>
      </x:c>
      <x:c r="AD224" s="202" t="str">
        <x:f>IF(A224="","",IF(AC224=1,"OK 100%","CONFERIR"))</x:f>
      </x:c>
      <x:c r="AE224" s="142"/>
      <x:c r="AF224" s="142"/>
      <x:c r="AG224" s="142"/>
    </x:row>
    <x:row r="225" ht="19" customHeight="1">
      <x:c r="A225" s="142"/>
      <x:c r="B225" s="142"/>
      <x:c r="C225" s="142"/>
      <x:c r="D225" s="142"/>
      <x:c r="E225" s="142"/>
      <x:c r="F225" s="142"/>
      <x:c r="G225" s="142"/>
      <x:c r="H225" s="142"/>
      <x:c r="I225" s="142"/>
      <x:c r="J225" s="142"/>
      <x:c r="K225" s="142"/>
      <x:c r="L225" s="142"/>
      <x:c r="M225" s="208"/>
      <x:c r="N225" s="208"/>
      <x:c r="O225" s="142"/>
      <x:c r="P225" s="142"/>
      <x:c r="Q225" s="142"/>
      <x:c r="R225" s="142"/>
      <x:c r="S225" s="142"/>
      <x:c r="T225" s="142"/>
      <x:c r="U225" s="142"/>
      <x:c r="V225" s="220"/>
      <x:c r="W225" s="142"/>
      <x:c r="X225" s="208"/>
      <x:c r="Y225" s="208"/>
      <x:c r="Z225" s="142"/>
      <x:c r="AA225" s="142"/>
      <x:c r="AB225" s="202" t="str">
        <x:f>IF(A225="","",IF(AND(B225&lt;&gt;"",D225&lt;&gt;"",F225&lt;&gt;"",H225&lt;&gt;"",M225&lt;&gt;"",N225&lt;&gt;"",Q225&lt;&gt;"",R225&lt;&gt;"",U225&lt;&gt;"",V225&lt;&gt;"",W225&lt;&gt;""),"PRONTO","PENDENTE"))</x:f>
      </x:c>
      <x:c r="AC225" s="214" t="str">
        <x:f>IF(A225="","",SUMIF('PARTICIPAÇÕES FONOGRAMA'!$A$5:$A$254,A225,'PARTICIPAÇÕES FONOGRAMA'!$I$5:$I$254))</x:f>
      </x:c>
      <x:c r="AD225" s="202" t="str">
        <x:f>IF(A225="","",IF(AC225=1,"OK 100%","CONFERIR"))</x:f>
      </x:c>
      <x:c r="AE225" s="142"/>
      <x:c r="AF225" s="142"/>
      <x:c r="AG225" s="142"/>
    </x:row>
    <x:row r="226" ht="19" customHeight="1">
      <x:c r="A226" s="142"/>
      <x:c r="B226" s="142"/>
      <x:c r="C226" s="142"/>
      <x:c r="D226" s="142"/>
      <x:c r="E226" s="142"/>
      <x:c r="F226" s="142"/>
      <x:c r="G226" s="142"/>
      <x:c r="H226" s="142"/>
      <x:c r="I226" s="142"/>
      <x:c r="J226" s="142"/>
      <x:c r="K226" s="142"/>
      <x:c r="L226" s="142"/>
      <x:c r="M226" s="208"/>
      <x:c r="N226" s="208"/>
      <x:c r="O226" s="142"/>
      <x:c r="P226" s="142"/>
      <x:c r="Q226" s="142"/>
      <x:c r="R226" s="142"/>
      <x:c r="S226" s="142"/>
      <x:c r="T226" s="142"/>
      <x:c r="U226" s="142"/>
      <x:c r="V226" s="220"/>
      <x:c r="W226" s="142"/>
      <x:c r="X226" s="208"/>
      <x:c r="Y226" s="208"/>
      <x:c r="Z226" s="142"/>
      <x:c r="AA226" s="142"/>
      <x:c r="AB226" s="202" t="str">
        <x:f>IF(A226="","",IF(AND(B226&lt;&gt;"",D226&lt;&gt;"",F226&lt;&gt;"",H226&lt;&gt;"",M226&lt;&gt;"",N226&lt;&gt;"",Q226&lt;&gt;"",R226&lt;&gt;"",U226&lt;&gt;"",V226&lt;&gt;"",W226&lt;&gt;""),"PRONTO","PENDENTE"))</x:f>
      </x:c>
      <x:c r="AC226" s="214" t="str">
        <x:f>IF(A226="","",SUMIF('PARTICIPAÇÕES FONOGRAMA'!$A$5:$A$254,A226,'PARTICIPAÇÕES FONOGRAMA'!$I$5:$I$254))</x:f>
      </x:c>
      <x:c r="AD226" s="202" t="str">
        <x:f>IF(A226="","",IF(AC226=1,"OK 100%","CONFERIR"))</x:f>
      </x:c>
      <x:c r="AE226" s="142"/>
      <x:c r="AF226" s="142"/>
      <x:c r="AG226" s="142"/>
    </x:row>
    <x:row r="227" ht="19" customHeight="1">
      <x:c r="A227" s="142"/>
      <x:c r="B227" s="142"/>
      <x:c r="C227" s="142"/>
      <x:c r="D227" s="142"/>
      <x:c r="E227" s="142"/>
      <x:c r="F227" s="142"/>
      <x:c r="G227" s="142"/>
      <x:c r="H227" s="142"/>
      <x:c r="I227" s="142"/>
      <x:c r="J227" s="142"/>
      <x:c r="K227" s="142"/>
      <x:c r="L227" s="142"/>
      <x:c r="M227" s="208"/>
      <x:c r="N227" s="208"/>
      <x:c r="O227" s="142"/>
      <x:c r="P227" s="142"/>
      <x:c r="Q227" s="142"/>
      <x:c r="R227" s="142"/>
      <x:c r="S227" s="142"/>
      <x:c r="T227" s="142"/>
      <x:c r="U227" s="142"/>
      <x:c r="V227" s="220"/>
      <x:c r="W227" s="142"/>
      <x:c r="X227" s="208"/>
      <x:c r="Y227" s="208"/>
      <x:c r="Z227" s="142"/>
      <x:c r="AA227" s="142"/>
      <x:c r="AB227" s="202" t="str">
        <x:f>IF(A227="","",IF(AND(B227&lt;&gt;"",D227&lt;&gt;"",F227&lt;&gt;"",H227&lt;&gt;"",M227&lt;&gt;"",N227&lt;&gt;"",Q227&lt;&gt;"",R227&lt;&gt;"",U227&lt;&gt;"",V227&lt;&gt;"",W227&lt;&gt;""),"PRONTO","PENDENTE"))</x:f>
      </x:c>
      <x:c r="AC227" s="214" t="str">
        <x:f>IF(A227="","",SUMIF('PARTICIPAÇÕES FONOGRAMA'!$A$5:$A$254,A227,'PARTICIPAÇÕES FONOGRAMA'!$I$5:$I$254))</x:f>
      </x:c>
      <x:c r="AD227" s="202" t="str">
        <x:f>IF(A227="","",IF(AC227=1,"OK 100%","CONFERIR"))</x:f>
      </x:c>
      <x:c r="AE227" s="142"/>
      <x:c r="AF227" s="142"/>
      <x:c r="AG227" s="142"/>
    </x:row>
    <x:row r="228" ht="19" customHeight="1">
      <x:c r="A228" s="142"/>
      <x:c r="B228" s="142"/>
      <x:c r="C228" s="142"/>
      <x:c r="D228" s="142"/>
      <x:c r="E228" s="142"/>
      <x:c r="F228" s="142"/>
      <x:c r="G228" s="142"/>
      <x:c r="H228" s="142"/>
      <x:c r="I228" s="142"/>
      <x:c r="J228" s="142"/>
      <x:c r="K228" s="142"/>
      <x:c r="L228" s="142"/>
      <x:c r="M228" s="208"/>
      <x:c r="N228" s="208"/>
      <x:c r="O228" s="142"/>
      <x:c r="P228" s="142"/>
      <x:c r="Q228" s="142"/>
      <x:c r="R228" s="142"/>
      <x:c r="S228" s="142"/>
      <x:c r="T228" s="142"/>
      <x:c r="U228" s="142"/>
      <x:c r="V228" s="220"/>
      <x:c r="W228" s="142"/>
      <x:c r="X228" s="208"/>
      <x:c r="Y228" s="208"/>
      <x:c r="Z228" s="142"/>
      <x:c r="AA228" s="142"/>
      <x:c r="AB228" s="202" t="str">
        <x:f>IF(A228="","",IF(AND(B228&lt;&gt;"",D228&lt;&gt;"",F228&lt;&gt;"",H228&lt;&gt;"",M228&lt;&gt;"",N228&lt;&gt;"",Q228&lt;&gt;"",R228&lt;&gt;"",U228&lt;&gt;"",V228&lt;&gt;"",W228&lt;&gt;""),"PRONTO","PENDENTE"))</x:f>
      </x:c>
      <x:c r="AC228" s="214" t="str">
        <x:f>IF(A228="","",SUMIF('PARTICIPAÇÕES FONOGRAMA'!$A$5:$A$254,A228,'PARTICIPAÇÕES FONOGRAMA'!$I$5:$I$254))</x:f>
      </x:c>
      <x:c r="AD228" s="202" t="str">
        <x:f>IF(A228="","",IF(AC228=1,"OK 100%","CONFERIR"))</x:f>
      </x:c>
      <x:c r="AE228" s="142"/>
      <x:c r="AF228" s="142"/>
      <x:c r="AG228" s="142"/>
    </x:row>
    <x:row r="229" ht="19" customHeight="1">
      <x:c r="A229" s="142"/>
      <x:c r="B229" s="142"/>
      <x:c r="C229" s="142"/>
      <x:c r="D229" s="142"/>
      <x:c r="E229" s="142"/>
      <x:c r="F229" s="142"/>
      <x:c r="G229" s="142"/>
      <x:c r="H229" s="142"/>
      <x:c r="I229" s="142"/>
      <x:c r="J229" s="142"/>
      <x:c r="K229" s="142"/>
      <x:c r="L229" s="142"/>
      <x:c r="M229" s="208"/>
      <x:c r="N229" s="208"/>
      <x:c r="O229" s="142"/>
      <x:c r="P229" s="142"/>
      <x:c r="Q229" s="142"/>
      <x:c r="R229" s="142"/>
      <x:c r="S229" s="142"/>
      <x:c r="T229" s="142"/>
      <x:c r="U229" s="142"/>
      <x:c r="V229" s="220"/>
      <x:c r="W229" s="142"/>
      <x:c r="X229" s="208"/>
      <x:c r="Y229" s="208"/>
      <x:c r="Z229" s="142"/>
      <x:c r="AA229" s="142"/>
      <x:c r="AB229" s="202" t="str">
        <x:f>IF(A229="","",IF(AND(B229&lt;&gt;"",D229&lt;&gt;"",F229&lt;&gt;"",H229&lt;&gt;"",M229&lt;&gt;"",N229&lt;&gt;"",Q229&lt;&gt;"",R229&lt;&gt;"",U229&lt;&gt;"",V229&lt;&gt;"",W229&lt;&gt;""),"PRONTO","PENDENTE"))</x:f>
      </x:c>
      <x:c r="AC229" s="214" t="str">
        <x:f>IF(A229="","",SUMIF('PARTICIPAÇÕES FONOGRAMA'!$A$5:$A$254,A229,'PARTICIPAÇÕES FONOGRAMA'!$I$5:$I$254))</x:f>
      </x:c>
      <x:c r="AD229" s="202" t="str">
        <x:f>IF(A229="","",IF(AC229=1,"OK 100%","CONFERIR"))</x:f>
      </x:c>
      <x:c r="AE229" s="142"/>
      <x:c r="AF229" s="142"/>
      <x:c r="AG229" s="142"/>
    </x:row>
    <x:row r="230" ht="19" customHeight="1">
      <x:c r="A230" s="142"/>
      <x:c r="B230" s="142"/>
      <x:c r="C230" s="142"/>
      <x:c r="D230" s="142"/>
      <x:c r="E230" s="142"/>
      <x:c r="F230" s="142"/>
      <x:c r="G230" s="142"/>
      <x:c r="H230" s="142"/>
      <x:c r="I230" s="142"/>
      <x:c r="J230" s="142"/>
      <x:c r="K230" s="142"/>
      <x:c r="L230" s="142"/>
      <x:c r="M230" s="208"/>
      <x:c r="N230" s="208"/>
      <x:c r="O230" s="142"/>
      <x:c r="P230" s="142"/>
      <x:c r="Q230" s="142"/>
      <x:c r="R230" s="142"/>
      <x:c r="S230" s="142"/>
      <x:c r="T230" s="142"/>
      <x:c r="U230" s="142"/>
      <x:c r="V230" s="220"/>
      <x:c r="W230" s="142"/>
      <x:c r="X230" s="208"/>
      <x:c r="Y230" s="208"/>
      <x:c r="Z230" s="142"/>
      <x:c r="AA230" s="142"/>
      <x:c r="AB230" s="202" t="str">
        <x:f>IF(A230="","",IF(AND(B230&lt;&gt;"",D230&lt;&gt;"",F230&lt;&gt;"",H230&lt;&gt;"",M230&lt;&gt;"",N230&lt;&gt;"",Q230&lt;&gt;"",R230&lt;&gt;"",U230&lt;&gt;"",V230&lt;&gt;"",W230&lt;&gt;""),"PRONTO","PENDENTE"))</x:f>
      </x:c>
      <x:c r="AC230" s="214" t="str">
        <x:f>IF(A230="","",SUMIF('PARTICIPAÇÕES FONOGRAMA'!$A$5:$A$254,A230,'PARTICIPAÇÕES FONOGRAMA'!$I$5:$I$254))</x:f>
      </x:c>
      <x:c r="AD230" s="202" t="str">
        <x:f>IF(A230="","",IF(AC230=1,"OK 100%","CONFERIR"))</x:f>
      </x:c>
      <x:c r="AE230" s="142"/>
      <x:c r="AF230" s="142"/>
      <x:c r="AG230" s="142"/>
    </x:row>
    <x:row r="231" ht="19" customHeight="1">
      <x:c r="A231" s="142"/>
      <x:c r="B231" s="142"/>
      <x:c r="C231" s="142"/>
      <x:c r="D231" s="142"/>
      <x:c r="E231" s="142"/>
      <x:c r="F231" s="142"/>
      <x:c r="G231" s="142"/>
      <x:c r="H231" s="142"/>
      <x:c r="I231" s="142"/>
      <x:c r="J231" s="142"/>
      <x:c r="K231" s="142"/>
      <x:c r="L231" s="142"/>
      <x:c r="M231" s="208"/>
      <x:c r="N231" s="208"/>
      <x:c r="O231" s="142"/>
      <x:c r="P231" s="142"/>
      <x:c r="Q231" s="142"/>
      <x:c r="R231" s="142"/>
      <x:c r="S231" s="142"/>
      <x:c r="T231" s="142"/>
      <x:c r="U231" s="142"/>
      <x:c r="V231" s="220"/>
      <x:c r="W231" s="142"/>
      <x:c r="X231" s="208"/>
      <x:c r="Y231" s="208"/>
      <x:c r="Z231" s="142"/>
      <x:c r="AA231" s="142"/>
      <x:c r="AB231" s="202" t="str">
        <x:f>IF(A231="","",IF(AND(B231&lt;&gt;"",D231&lt;&gt;"",F231&lt;&gt;"",H231&lt;&gt;"",M231&lt;&gt;"",N231&lt;&gt;"",Q231&lt;&gt;"",R231&lt;&gt;"",U231&lt;&gt;"",V231&lt;&gt;"",W231&lt;&gt;""),"PRONTO","PENDENTE"))</x:f>
      </x:c>
      <x:c r="AC231" s="214" t="str">
        <x:f>IF(A231="","",SUMIF('PARTICIPAÇÕES FONOGRAMA'!$A$5:$A$254,A231,'PARTICIPAÇÕES FONOGRAMA'!$I$5:$I$254))</x:f>
      </x:c>
      <x:c r="AD231" s="202" t="str">
        <x:f>IF(A231="","",IF(AC231=1,"OK 100%","CONFERIR"))</x:f>
      </x:c>
      <x:c r="AE231" s="142"/>
      <x:c r="AF231" s="142"/>
      <x:c r="AG231" s="142"/>
    </x:row>
    <x:row r="232" ht="19" customHeight="1">
      <x:c r="A232" s="142"/>
      <x:c r="B232" s="142"/>
      <x:c r="C232" s="142"/>
      <x:c r="D232" s="142"/>
      <x:c r="E232" s="142"/>
      <x:c r="F232" s="142"/>
      <x:c r="G232" s="142"/>
      <x:c r="H232" s="142"/>
      <x:c r="I232" s="142"/>
      <x:c r="J232" s="142"/>
      <x:c r="K232" s="142"/>
      <x:c r="L232" s="142"/>
      <x:c r="M232" s="208"/>
      <x:c r="N232" s="208"/>
      <x:c r="O232" s="142"/>
      <x:c r="P232" s="142"/>
      <x:c r="Q232" s="142"/>
      <x:c r="R232" s="142"/>
      <x:c r="S232" s="142"/>
      <x:c r="T232" s="142"/>
      <x:c r="U232" s="142"/>
      <x:c r="V232" s="220"/>
      <x:c r="W232" s="142"/>
      <x:c r="X232" s="208"/>
      <x:c r="Y232" s="208"/>
      <x:c r="Z232" s="142"/>
      <x:c r="AA232" s="142"/>
      <x:c r="AB232" s="202" t="str">
        <x:f>IF(A232="","",IF(AND(B232&lt;&gt;"",D232&lt;&gt;"",F232&lt;&gt;"",H232&lt;&gt;"",M232&lt;&gt;"",N232&lt;&gt;"",Q232&lt;&gt;"",R232&lt;&gt;"",U232&lt;&gt;"",V232&lt;&gt;"",W232&lt;&gt;""),"PRONTO","PENDENTE"))</x:f>
      </x:c>
      <x:c r="AC232" s="214" t="str">
        <x:f>IF(A232="","",SUMIF('PARTICIPAÇÕES FONOGRAMA'!$A$5:$A$254,A232,'PARTICIPAÇÕES FONOGRAMA'!$I$5:$I$254))</x:f>
      </x:c>
      <x:c r="AD232" s="202" t="str">
        <x:f>IF(A232="","",IF(AC232=1,"OK 100%","CONFERIR"))</x:f>
      </x:c>
      <x:c r="AE232" s="142"/>
      <x:c r="AF232" s="142"/>
      <x:c r="AG232" s="142"/>
    </x:row>
    <x:row r="233" ht="19" customHeight="1">
      <x:c r="A233" s="142"/>
      <x:c r="B233" s="142"/>
      <x:c r="C233" s="142"/>
      <x:c r="D233" s="142"/>
      <x:c r="E233" s="142"/>
      <x:c r="F233" s="142"/>
      <x:c r="G233" s="142"/>
      <x:c r="H233" s="142"/>
      <x:c r="I233" s="142"/>
      <x:c r="J233" s="142"/>
      <x:c r="K233" s="142"/>
      <x:c r="L233" s="142"/>
      <x:c r="M233" s="208"/>
      <x:c r="N233" s="208"/>
      <x:c r="O233" s="142"/>
      <x:c r="P233" s="142"/>
      <x:c r="Q233" s="142"/>
      <x:c r="R233" s="142"/>
      <x:c r="S233" s="142"/>
      <x:c r="T233" s="142"/>
      <x:c r="U233" s="142"/>
      <x:c r="V233" s="220"/>
      <x:c r="W233" s="142"/>
      <x:c r="X233" s="208"/>
      <x:c r="Y233" s="208"/>
      <x:c r="Z233" s="142"/>
      <x:c r="AA233" s="142"/>
      <x:c r="AB233" s="202" t="str">
        <x:f>IF(A233="","",IF(AND(B233&lt;&gt;"",D233&lt;&gt;"",F233&lt;&gt;"",H233&lt;&gt;"",M233&lt;&gt;"",N233&lt;&gt;"",Q233&lt;&gt;"",R233&lt;&gt;"",U233&lt;&gt;"",V233&lt;&gt;"",W233&lt;&gt;""),"PRONTO","PENDENTE"))</x:f>
      </x:c>
      <x:c r="AC233" s="214" t="str">
        <x:f>IF(A233="","",SUMIF('PARTICIPAÇÕES FONOGRAMA'!$A$5:$A$254,A233,'PARTICIPAÇÕES FONOGRAMA'!$I$5:$I$254))</x:f>
      </x:c>
      <x:c r="AD233" s="202" t="str">
        <x:f>IF(A233="","",IF(AC233=1,"OK 100%","CONFERIR"))</x:f>
      </x:c>
      <x:c r="AE233" s="142"/>
      <x:c r="AF233" s="142"/>
      <x:c r="AG233" s="142"/>
    </x:row>
    <x:row r="234" ht="19" customHeight="1">
      <x:c r="A234" s="142"/>
      <x:c r="B234" s="142"/>
      <x:c r="C234" s="142"/>
      <x:c r="D234" s="142"/>
      <x:c r="E234" s="142"/>
      <x:c r="F234" s="142"/>
      <x:c r="G234" s="142"/>
      <x:c r="H234" s="142"/>
      <x:c r="I234" s="142"/>
      <x:c r="J234" s="142"/>
      <x:c r="K234" s="142"/>
      <x:c r="L234" s="142"/>
      <x:c r="M234" s="208"/>
      <x:c r="N234" s="208"/>
      <x:c r="O234" s="142"/>
      <x:c r="P234" s="142"/>
      <x:c r="Q234" s="142"/>
      <x:c r="R234" s="142"/>
      <x:c r="S234" s="142"/>
      <x:c r="T234" s="142"/>
      <x:c r="U234" s="142"/>
      <x:c r="V234" s="220"/>
      <x:c r="W234" s="142"/>
      <x:c r="X234" s="208"/>
      <x:c r="Y234" s="208"/>
      <x:c r="Z234" s="142"/>
      <x:c r="AA234" s="142"/>
      <x:c r="AB234" s="202" t="str">
        <x:f>IF(A234="","",IF(AND(B234&lt;&gt;"",D234&lt;&gt;"",F234&lt;&gt;"",H234&lt;&gt;"",M234&lt;&gt;"",N234&lt;&gt;"",Q234&lt;&gt;"",R234&lt;&gt;"",U234&lt;&gt;"",V234&lt;&gt;"",W234&lt;&gt;""),"PRONTO","PENDENTE"))</x:f>
      </x:c>
      <x:c r="AC234" s="214" t="str">
        <x:f>IF(A234="","",SUMIF('PARTICIPAÇÕES FONOGRAMA'!$A$5:$A$254,A234,'PARTICIPAÇÕES FONOGRAMA'!$I$5:$I$254))</x:f>
      </x:c>
      <x:c r="AD234" s="202" t="str">
        <x:f>IF(A234="","",IF(AC234=1,"OK 100%","CONFERIR"))</x:f>
      </x:c>
      <x:c r="AE234" s="142"/>
      <x:c r="AF234" s="142"/>
      <x:c r="AG234" s="142"/>
    </x:row>
    <x:row r="235" ht="19" customHeight="1">
      <x:c r="A235" s="142"/>
      <x:c r="B235" s="142"/>
      <x:c r="C235" s="142"/>
      <x:c r="D235" s="142"/>
      <x:c r="E235" s="142"/>
      <x:c r="F235" s="142"/>
      <x:c r="G235" s="142"/>
      <x:c r="H235" s="142"/>
      <x:c r="I235" s="142"/>
      <x:c r="J235" s="142"/>
      <x:c r="K235" s="142"/>
      <x:c r="L235" s="142"/>
      <x:c r="M235" s="208"/>
      <x:c r="N235" s="208"/>
      <x:c r="O235" s="142"/>
      <x:c r="P235" s="142"/>
      <x:c r="Q235" s="142"/>
      <x:c r="R235" s="142"/>
      <x:c r="S235" s="142"/>
      <x:c r="T235" s="142"/>
      <x:c r="U235" s="142"/>
      <x:c r="V235" s="220"/>
      <x:c r="W235" s="142"/>
      <x:c r="X235" s="208"/>
      <x:c r="Y235" s="208"/>
      <x:c r="Z235" s="142"/>
      <x:c r="AA235" s="142"/>
      <x:c r="AB235" s="202" t="str">
        <x:f>IF(A235="","",IF(AND(B235&lt;&gt;"",D235&lt;&gt;"",F235&lt;&gt;"",H235&lt;&gt;"",M235&lt;&gt;"",N235&lt;&gt;"",Q235&lt;&gt;"",R235&lt;&gt;"",U235&lt;&gt;"",V235&lt;&gt;"",W235&lt;&gt;""),"PRONTO","PENDENTE"))</x:f>
      </x:c>
      <x:c r="AC235" s="214" t="str">
        <x:f>IF(A235="","",SUMIF('PARTICIPAÇÕES FONOGRAMA'!$A$5:$A$254,A235,'PARTICIPAÇÕES FONOGRAMA'!$I$5:$I$254))</x:f>
      </x:c>
      <x:c r="AD235" s="202" t="str">
        <x:f>IF(A235="","",IF(AC235=1,"OK 100%","CONFERIR"))</x:f>
      </x:c>
      <x:c r="AE235" s="142"/>
      <x:c r="AF235" s="142"/>
      <x:c r="AG235" s="142"/>
    </x:row>
    <x:row r="236" ht="19" customHeight="1">
      <x:c r="A236" s="142"/>
      <x:c r="B236" s="142"/>
      <x:c r="C236" s="142"/>
      <x:c r="D236" s="142"/>
      <x:c r="E236" s="142"/>
      <x:c r="F236" s="142"/>
      <x:c r="G236" s="142"/>
      <x:c r="H236" s="142"/>
      <x:c r="I236" s="142"/>
      <x:c r="J236" s="142"/>
      <x:c r="K236" s="142"/>
      <x:c r="L236" s="142"/>
      <x:c r="M236" s="208"/>
      <x:c r="N236" s="208"/>
      <x:c r="O236" s="142"/>
      <x:c r="P236" s="142"/>
      <x:c r="Q236" s="142"/>
      <x:c r="R236" s="142"/>
      <x:c r="S236" s="142"/>
      <x:c r="T236" s="142"/>
      <x:c r="U236" s="142"/>
      <x:c r="V236" s="220"/>
      <x:c r="W236" s="142"/>
      <x:c r="X236" s="208"/>
      <x:c r="Y236" s="208"/>
      <x:c r="Z236" s="142"/>
      <x:c r="AA236" s="142"/>
      <x:c r="AB236" s="202" t="str">
        <x:f>IF(A236="","",IF(AND(B236&lt;&gt;"",D236&lt;&gt;"",F236&lt;&gt;"",H236&lt;&gt;"",M236&lt;&gt;"",N236&lt;&gt;"",Q236&lt;&gt;"",R236&lt;&gt;"",U236&lt;&gt;"",V236&lt;&gt;"",W236&lt;&gt;""),"PRONTO","PENDENTE"))</x:f>
      </x:c>
      <x:c r="AC236" s="214" t="str">
        <x:f>IF(A236="","",SUMIF('PARTICIPAÇÕES FONOGRAMA'!$A$5:$A$254,A236,'PARTICIPAÇÕES FONOGRAMA'!$I$5:$I$254))</x:f>
      </x:c>
      <x:c r="AD236" s="202" t="str">
        <x:f>IF(A236="","",IF(AC236=1,"OK 100%","CONFERIR"))</x:f>
      </x:c>
      <x:c r="AE236" s="142"/>
      <x:c r="AF236" s="142"/>
      <x:c r="AG236" s="142"/>
    </x:row>
    <x:row r="237" ht="19" customHeight="1">
      <x:c r="A237" s="142"/>
      <x:c r="B237" s="142"/>
      <x:c r="C237" s="142"/>
      <x:c r="D237" s="142"/>
      <x:c r="E237" s="142"/>
      <x:c r="F237" s="142"/>
      <x:c r="G237" s="142"/>
      <x:c r="H237" s="142"/>
      <x:c r="I237" s="142"/>
      <x:c r="J237" s="142"/>
      <x:c r="K237" s="142"/>
      <x:c r="L237" s="142"/>
      <x:c r="M237" s="208"/>
      <x:c r="N237" s="208"/>
      <x:c r="O237" s="142"/>
      <x:c r="P237" s="142"/>
      <x:c r="Q237" s="142"/>
      <x:c r="R237" s="142"/>
      <x:c r="S237" s="142"/>
      <x:c r="T237" s="142"/>
      <x:c r="U237" s="142"/>
      <x:c r="V237" s="220"/>
      <x:c r="W237" s="142"/>
      <x:c r="X237" s="208"/>
      <x:c r="Y237" s="208"/>
      <x:c r="Z237" s="142"/>
      <x:c r="AA237" s="142"/>
      <x:c r="AB237" s="202" t="str">
        <x:f>IF(A237="","",IF(AND(B237&lt;&gt;"",D237&lt;&gt;"",F237&lt;&gt;"",H237&lt;&gt;"",M237&lt;&gt;"",N237&lt;&gt;"",Q237&lt;&gt;"",R237&lt;&gt;"",U237&lt;&gt;"",V237&lt;&gt;"",W237&lt;&gt;""),"PRONTO","PENDENTE"))</x:f>
      </x:c>
      <x:c r="AC237" s="214" t="str">
        <x:f>IF(A237="","",SUMIF('PARTICIPAÇÕES FONOGRAMA'!$A$5:$A$254,A237,'PARTICIPAÇÕES FONOGRAMA'!$I$5:$I$254))</x:f>
      </x:c>
      <x:c r="AD237" s="202" t="str">
        <x:f>IF(A237="","",IF(AC237=1,"OK 100%","CONFERIR"))</x:f>
      </x:c>
      <x:c r="AE237" s="142"/>
      <x:c r="AF237" s="142"/>
      <x:c r="AG237" s="142"/>
    </x:row>
    <x:row r="238" ht="19" customHeight="1">
      <x:c r="A238" s="142"/>
      <x:c r="B238" s="142"/>
      <x:c r="C238" s="142"/>
      <x:c r="D238" s="142"/>
      <x:c r="E238" s="142"/>
      <x:c r="F238" s="142"/>
      <x:c r="G238" s="142"/>
      <x:c r="H238" s="142"/>
      <x:c r="I238" s="142"/>
      <x:c r="J238" s="142"/>
      <x:c r="K238" s="142"/>
      <x:c r="L238" s="142"/>
      <x:c r="M238" s="208"/>
      <x:c r="N238" s="208"/>
      <x:c r="O238" s="142"/>
      <x:c r="P238" s="142"/>
      <x:c r="Q238" s="142"/>
      <x:c r="R238" s="142"/>
      <x:c r="S238" s="142"/>
      <x:c r="T238" s="142"/>
      <x:c r="U238" s="142"/>
      <x:c r="V238" s="220"/>
      <x:c r="W238" s="142"/>
      <x:c r="X238" s="208"/>
      <x:c r="Y238" s="208"/>
      <x:c r="Z238" s="142"/>
      <x:c r="AA238" s="142"/>
      <x:c r="AB238" s="202" t="str">
        <x:f>IF(A238="","",IF(AND(B238&lt;&gt;"",D238&lt;&gt;"",F238&lt;&gt;"",H238&lt;&gt;"",M238&lt;&gt;"",N238&lt;&gt;"",Q238&lt;&gt;"",R238&lt;&gt;"",U238&lt;&gt;"",V238&lt;&gt;"",W238&lt;&gt;""),"PRONTO","PENDENTE"))</x:f>
      </x:c>
      <x:c r="AC238" s="214" t="str">
        <x:f>IF(A238="","",SUMIF('PARTICIPAÇÕES FONOGRAMA'!$A$5:$A$254,A238,'PARTICIPAÇÕES FONOGRAMA'!$I$5:$I$254))</x:f>
      </x:c>
      <x:c r="AD238" s="202" t="str">
        <x:f>IF(A238="","",IF(AC238=1,"OK 100%","CONFERIR"))</x:f>
      </x:c>
      <x:c r="AE238" s="142"/>
      <x:c r="AF238" s="142"/>
      <x:c r="AG238" s="142"/>
    </x:row>
    <x:row r="239" ht="19" customHeight="1">
      <x:c r="A239" s="142"/>
      <x:c r="B239" s="142"/>
      <x:c r="C239" s="142"/>
      <x:c r="D239" s="142"/>
      <x:c r="E239" s="142"/>
      <x:c r="F239" s="142"/>
      <x:c r="G239" s="142"/>
      <x:c r="H239" s="142"/>
      <x:c r="I239" s="142"/>
      <x:c r="J239" s="142"/>
      <x:c r="K239" s="142"/>
      <x:c r="L239" s="142"/>
      <x:c r="M239" s="208"/>
      <x:c r="N239" s="208"/>
      <x:c r="O239" s="142"/>
      <x:c r="P239" s="142"/>
      <x:c r="Q239" s="142"/>
      <x:c r="R239" s="142"/>
      <x:c r="S239" s="142"/>
      <x:c r="T239" s="142"/>
      <x:c r="U239" s="142"/>
      <x:c r="V239" s="220"/>
      <x:c r="W239" s="142"/>
      <x:c r="X239" s="208"/>
      <x:c r="Y239" s="208"/>
      <x:c r="Z239" s="142"/>
      <x:c r="AA239" s="142"/>
      <x:c r="AB239" s="202" t="str">
        <x:f>IF(A239="","",IF(AND(B239&lt;&gt;"",D239&lt;&gt;"",F239&lt;&gt;"",H239&lt;&gt;"",M239&lt;&gt;"",N239&lt;&gt;"",Q239&lt;&gt;"",R239&lt;&gt;"",U239&lt;&gt;"",V239&lt;&gt;"",W239&lt;&gt;""),"PRONTO","PENDENTE"))</x:f>
      </x:c>
      <x:c r="AC239" s="214" t="str">
        <x:f>IF(A239="","",SUMIF('PARTICIPAÇÕES FONOGRAMA'!$A$5:$A$254,A239,'PARTICIPAÇÕES FONOGRAMA'!$I$5:$I$254))</x:f>
      </x:c>
      <x:c r="AD239" s="202" t="str">
        <x:f>IF(A239="","",IF(AC239=1,"OK 100%","CONFERIR"))</x:f>
      </x:c>
      <x:c r="AE239" s="142"/>
      <x:c r="AF239" s="142"/>
      <x:c r="AG239" s="142"/>
    </x:row>
    <x:row r="240" ht="19" customHeight="1">
      <x:c r="A240" s="142"/>
      <x:c r="B240" s="142"/>
      <x:c r="C240" s="142"/>
      <x:c r="D240" s="142"/>
      <x:c r="E240" s="142"/>
      <x:c r="F240" s="142"/>
      <x:c r="G240" s="142"/>
      <x:c r="H240" s="142"/>
      <x:c r="I240" s="142"/>
      <x:c r="J240" s="142"/>
      <x:c r="K240" s="142"/>
      <x:c r="L240" s="142"/>
      <x:c r="M240" s="208"/>
      <x:c r="N240" s="208"/>
      <x:c r="O240" s="142"/>
      <x:c r="P240" s="142"/>
      <x:c r="Q240" s="142"/>
      <x:c r="R240" s="142"/>
      <x:c r="S240" s="142"/>
      <x:c r="T240" s="142"/>
      <x:c r="U240" s="142"/>
      <x:c r="V240" s="220"/>
      <x:c r="W240" s="142"/>
      <x:c r="X240" s="208"/>
      <x:c r="Y240" s="208"/>
      <x:c r="Z240" s="142"/>
      <x:c r="AA240" s="142"/>
      <x:c r="AB240" s="202" t="str">
        <x:f>IF(A240="","",IF(AND(B240&lt;&gt;"",D240&lt;&gt;"",F240&lt;&gt;"",H240&lt;&gt;"",M240&lt;&gt;"",N240&lt;&gt;"",Q240&lt;&gt;"",R240&lt;&gt;"",U240&lt;&gt;"",V240&lt;&gt;"",W240&lt;&gt;""),"PRONTO","PENDENTE"))</x:f>
      </x:c>
      <x:c r="AC240" s="214" t="str">
        <x:f>IF(A240="","",SUMIF('PARTICIPAÇÕES FONOGRAMA'!$A$5:$A$254,A240,'PARTICIPAÇÕES FONOGRAMA'!$I$5:$I$254))</x:f>
      </x:c>
      <x:c r="AD240" s="202" t="str">
        <x:f>IF(A240="","",IF(AC240=1,"OK 100%","CONFERIR"))</x:f>
      </x:c>
      <x:c r="AE240" s="142"/>
      <x:c r="AF240" s="142"/>
      <x:c r="AG240" s="142"/>
    </x:row>
    <x:row r="241" ht="19" customHeight="1">
      <x:c r="A241" s="142"/>
      <x:c r="B241" s="142"/>
      <x:c r="C241" s="142"/>
      <x:c r="D241" s="142"/>
      <x:c r="E241" s="142"/>
      <x:c r="F241" s="142"/>
      <x:c r="G241" s="142"/>
      <x:c r="H241" s="142"/>
      <x:c r="I241" s="142"/>
      <x:c r="J241" s="142"/>
      <x:c r="K241" s="142"/>
      <x:c r="L241" s="142"/>
      <x:c r="M241" s="208"/>
      <x:c r="N241" s="208"/>
      <x:c r="O241" s="142"/>
      <x:c r="P241" s="142"/>
      <x:c r="Q241" s="142"/>
      <x:c r="R241" s="142"/>
      <x:c r="S241" s="142"/>
      <x:c r="T241" s="142"/>
      <x:c r="U241" s="142"/>
      <x:c r="V241" s="220"/>
      <x:c r="W241" s="142"/>
      <x:c r="X241" s="208"/>
      <x:c r="Y241" s="208"/>
      <x:c r="Z241" s="142"/>
      <x:c r="AA241" s="142"/>
      <x:c r="AB241" s="202" t="str">
        <x:f>IF(A241="","",IF(AND(B241&lt;&gt;"",D241&lt;&gt;"",F241&lt;&gt;"",H241&lt;&gt;"",M241&lt;&gt;"",N241&lt;&gt;"",Q241&lt;&gt;"",R241&lt;&gt;"",U241&lt;&gt;"",V241&lt;&gt;"",W241&lt;&gt;""),"PRONTO","PENDENTE"))</x:f>
      </x:c>
      <x:c r="AC241" s="214" t="str">
        <x:f>IF(A241="","",SUMIF('PARTICIPAÇÕES FONOGRAMA'!$A$5:$A$254,A241,'PARTICIPAÇÕES FONOGRAMA'!$I$5:$I$254))</x:f>
      </x:c>
      <x:c r="AD241" s="202" t="str">
        <x:f>IF(A241="","",IF(AC241=1,"OK 100%","CONFERIR"))</x:f>
      </x:c>
      <x:c r="AE241" s="142"/>
      <x:c r="AF241" s="142"/>
      <x:c r="AG241" s="142"/>
    </x:row>
    <x:row r="242" ht="19" customHeight="1">
      <x:c r="A242" s="142"/>
      <x:c r="B242" s="142"/>
      <x:c r="C242" s="142"/>
      <x:c r="D242" s="142"/>
      <x:c r="E242" s="142"/>
      <x:c r="F242" s="142"/>
      <x:c r="G242" s="142"/>
      <x:c r="H242" s="142"/>
      <x:c r="I242" s="142"/>
      <x:c r="J242" s="142"/>
      <x:c r="K242" s="142"/>
      <x:c r="L242" s="142"/>
      <x:c r="M242" s="208"/>
      <x:c r="N242" s="208"/>
      <x:c r="O242" s="142"/>
      <x:c r="P242" s="142"/>
      <x:c r="Q242" s="142"/>
      <x:c r="R242" s="142"/>
      <x:c r="S242" s="142"/>
      <x:c r="T242" s="142"/>
      <x:c r="U242" s="142"/>
      <x:c r="V242" s="220"/>
      <x:c r="W242" s="142"/>
      <x:c r="X242" s="208"/>
      <x:c r="Y242" s="208"/>
      <x:c r="Z242" s="142"/>
      <x:c r="AA242" s="142"/>
      <x:c r="AB242" s="202" t="str">
        <x:f>IF(A242="","",IF(AND(B242&lt;&gt;"",D242&lt;&gt;"",F242&lt;&gt;"",H242&lt;&gt;"",M242&lt;&gt;"",N242&lt;&gt;"",Q242&lt;&gt;"",R242&lt;&gt;"",U242&lt;&gt;"",V242&lt;&gt;"",W242&lt;&gt;""),"PRONTO","PENDENTE"))</x:f>
      </x:c>
      <x:c r="AC242" s="214" t="str">
        <x:f>IF(A242="","",SUMIF('PARTICIPAÇÕES FONOGRAMA'!$A$5:$A$254,A242,'PARTICIPAÇÕES FONOGRAMA'!$I$5:$I$254))</x:f>
      </x:c>
      <x:c r="AD242" s="202" t="str">
        <x:f>IF(A242="","",IF(AC242=1,"OK 100%","CONFERIR"))</x:f>
      </x:c>
      <x:c r="AE242" s="142"/>
      <x:c r="AF242" s="142"/>
      <x:c r="AG242" s="142"/>
    </x:row>
    <x:row r="243" ht="19" customHeight="1">
      <x:c r="A243" s="142"/>
      <x:c r="B243" s="142"/>
      <x:c r="C243" s="142"/>
      <x:c r="D243" s="142"/>
      <x:c r="E243" s="142"/>
      <x:c r="F243" s="142"/>
      <x:c r="G243" s="142"/>
      <x:c r="H243" s="142"/>
      <x:c r="I243" s="142"/>
      <x:c r="J243" s="142"/>
      <x:c r="K243" s="142"/>
      <x:c r="L243" s="142"/>
      <x:c r="M243" s="208"/>
      <x:c r="N243" s="208"/>
      <x:c r="O243" s="142"/>
      <x:c r="P243" s="142"/>
      <x:c r="Q243" s="142"/>
      <x:c r="R243" s="142"/>
      <x:c r="S243" s="142"/>
      <x:c r="T243" s="142"/>
      <x:c r="U243" s="142"/>
      <x:c r="V243" s="220"/>
      <x:c r="W243" s="142"/>
      <x:c r="X243" s="208"/>
      <x:c r="Y243" s="208"/>
      <x:c r="Z243" s="142"/>
      <x:c r="AA243" s="142"/>
      <x:c r="AB243" s="202" t="str">
        <x:f>IF(A243="","",IF(AND(B243&lt;&gt;"",D243&lt;&gt;"",F243&lt;&gt;"",H243&lt;&gt;"",M243&lt;&gt;"",N243&lt;&gt;"",Q243&lt;&gt;"",R243&lt;&gt;"",U243&lt;&gt;"",V243&lt;&gt;"",W243&lt;&gt;""),"PRONTO","PENDENTE"))</x:f>
      </x:c>
      <x:c r="AC243" s="214" t="str">
        <x:f>IF(A243="","",SUMIF('PARTICIPAÇÕES FONOGRAMA'!$A$5:$A$254,A243,'PARTICIPAÇÕES FONOGRAMA'!$I$5:$I$254))</x:f>
      </x:c>
      <x:c r="AD243" s="202" t="str">
        <x:f>IF(A243="","",IF(AC243=1,"OK 100%","CONFERIR"))</x:f>
      </x:c>
      <x:c r="AE243" s="142"/>
      <x:c r="AF243" s="142"/>
      <x:c r="AG243" s="142"/>
    </x:row>
    <x:row r="244" ht="19" customHeight="1">
      <x:c r="A244" s="142"/>
      <x:c r="B244" s="142"/>
      <x:c r="C244" s="142"/>
      <x:c r="D244" s="142"/>
      <x:c r="E244" s="142"/>
      <x:c r="F244" s="142"/>
      <x:c r="G244" s="142"/>
      <x:c r="H244" s="142"/>
      <x:c r="I244" s="142"/>
      <x:c r="J244" s="142"/>
      <x:c r="K244" s="142"/>
      <x:c r="L244" s="142"/>
      <x:c r="M244" s="208"/>
      <x:c r="N244" s="208"/>
      <x:c r="O244" s="142"/>
      <x:c r="P244" s="142"/>
      <x:c r="Q244" s="142"/>
      <x:c r="R244" s="142"/>
      <x:c r="S244" s="142"/>
      <x:c r="T244" s="142"/>
      <x:c r="U244" s="142"/>
      <x:c r="V244" s="220"/>
      <x:c r="W244" s="142"/>
      <x:c r="X244" s="208"/>
      <x:c r="Y244" s="208"/>
      <x:c r="Z244" s="142"/>
      <x:c r="AA244" s="142"/>
      <x:c r="AB244" s="202" t="str">
        <x:f>IF(A244="","",IF(AND(B244&lt;&gt;"",D244&lt;&gt;"",F244&lt;&gt;"",H244&lt;&gt;"",M244&lt;&gt;"",N244&lt;&gt;"",Q244&lt;&gt;"",R244&lt;&gt;"",U244&lt;&gt;"",V244&lt;&gt;"",W244&lt;&gt;""),"PRONTO","PENDENTE"))</x:f>
      </x:c>
      <x:c r="AC244" s="214" t="str">
        <x:f>IF(A244="","",SUMIF('PARTICIPAÇÕES FONOGRAMA'!$A$5:$A$254,A244,'PARTICIPAÇÕES FONOGRAMA'!$I$5:$I$254))</x:f>
      </x:c>
      <x:c r="AD244" s="202" t="str">
        <x:f>IF(A244="","",IF(AC244=1,"OK 100%","CONFERIR"))</x:f>
      </x:c>
      <x:c r="AE244" s="142"/>
      <x:c r="AF244" s="142"/>
      <x:c r="AG244" s="142"/>
    </x:row>
    <x:row r="245" ht="19" customHeight="1">
      <x:c r="A245" s="142"/>
      <x:c r="B245" s="142"/>
      <x:c r="C245" s="142"/>
      <x:c r="D245" s="142"/>
      <x:c r="E245" s="142"/>
      <x:c r="F245" s="142"/>
      <x:c r="G245" s="142"/>
      <x:c r="H245" s="142"/>
      <x:c r="I245" s="142"/>
      <x:c r="J245" s="142"/>
      <x:c r="K245" s="142"/>
      <x:c r="L245" s="142"/>
      <x:c r="M245" s="208"/>
      <x:c r="N245" s="208"/>
      <x:c r="O245" s="142"/>
      <x:c r="P245" s="142"/>
      <x:c r="Q245" s="142"/>
      <x:c r="R245" s="142"/>
      <x:c r="S245" s="142"/>
      <x:c r="T245" s="142"/>
      <x:c r="U245" s="142"/>
      <x:c r="V245" s="220"/>
      <x:c r="W245" s="142"/>
      <x:c r="X245" s="208"/>
      <x:c r="Y245" s="208"/>
      <x:c r="Z245" s="142"/>
      <x:c r="AA245" s="142"/>
      <x:c r="AB245" s="202" t="str">
        <x:f>IF(A245="","",IF(AND(B245&lt;&gt;"",D245&lt;&gt;"",F245&lt;&gt;"",H245&lt;&gt;"",M245&lt;&gt;"",N245&lt;&gt;"",Q245&lt;&gt;"",R245&lt;&gt;"",U245&lt;&gt;"",V245&lt;&gt;"",W245&lt;&gt;""),"PRONTO","PENDENTE"))</x:f>
      </x:c>
      <x:c r="AC245" s="214" t="str">
        <x:f>IF(A245="","",SUMIF('PARTICIPAÇÕES FONOGRAMA'!$A$5:$A$254,A245,'PARTICIPAÇÕES FONOGRAMA'!$I$5:$I$254))</x:f>
      </x:c>
      <x:c r="AD245" s="202" t="str">
        <x:f>IF(A245="","",IF(AC245=1,"OK 100%","CONFERIR"))</x:f>
      </x:c>
      <x:c r="AE245" s="142"/>
      <x:c r="AF245" s="142"/>
      <x:c r="AG245" s="142"/>
    </x:row>
    <x:row r="246" ht="19" customHeight="1">
      <x:c r="A246" s="142"/>
      <x:c r="B246" s="142"/>
      <x:c r="C246" s="142"/>
      <x:c r="D246" s="142"/>
      <x:c r="E246" s="142"/>
      <x:c r="F246" s="142"/>
      <x:c r="G246" s="142"/>
      <x:c r="H246" s="142"/>
      <x:c r="I246" s="142"/>
      <x:c r="J246" s="142"/>
      <x:c r="K246" s="142"/>
      <x:c r="L246" s="142"/>
      <x:c r="M246" s="208"/>
      <x:c r="N246" s="208"/>
      <x:c r="O246" s="142"/>
      <x:c r="P246" s="142"/>
      <x:c r="Q246" s="142"/>
      <x:c r="R246" s="142"/>
      <x:c r="S246" s="142"/>
      <x:c r="T246" s="142"/>
      <x:c r="U246" s="142"/>
      <x:c r="V246" s="220"/>
      <x:c r="W246" s="142"/>
      <x:c r="X246" s="208"/>
      <x:c r="Y246" s="208"/>
      <x:c r="Z246" s="142"/>
      <x:c r="AA246" s="142"/>
      <x:c r="AB246" s="202" t="str">
        <x:f>IF(A246="","",IF(AND(B246&lt;&gt;"",D246&lt;&gt;"",F246&lt;&gt;"",H246&lt;&gt;"",M246&lt;&gt;"",N246&lt;&gt;"",Q246&lt;&gt;"",R246&lt;&gt;"",U246&lt;&gt;"",V246&lt;&gt;"",W246&lt;&gt;""),"PRONTO","PENDENTE"))</x:f>
      </x:c>
      <x:c r="AC246" s="214" t="str">
        <x:f>IF(A246="","",SUMIF('PARTICIPAÇÕES FONOGRAMA'!$A$5:$A$254,A246,'PARTICIPAÇÕES FONOGRAMA'!$I$5:$I$254))</x:f>
      </x:c>
      <x:c r="AD246" s="202" t="str">
        <x:f>IF(A246="","",IF(AC246=1,"OK 100%","CONFERIR"))</x:f>
      </x:c>
      <x:c r="AE246" s="142"/>
      <x:c r="AF246" s="142"/>
      <x:c r="AG246" s="142"/>
    </x:row>
    <x:row r="247" ht="19" customHeight="1">
      <x:c r="A247" s="142"/>
      <x:c r="B247" s="142"/>
      <x:c r="C247" s="142"/>
      <x:c r="D247" s="142"/>
      <x:c r="E247" s="142"/>
      <x:c r="F247" s="142"/>
      <x:c r="G247" s="142"/>
      <x:c r="H247" s="142"/>
      <x:c r="I247" s="142"/>
      <x:c r="J247" s="142"/>
      <x:c r="K247" s="142"/>
      <x:c r="L247" s="142"/>
      <x:c r="M247" s="208"/>
      <x:c r="N247" s="208"/>
      <x:c r="O247" s="142"/>
      <x:c r="P247" s="142"/>
      <x:c r="Q247" s="142"/>
      <x:c r="R247" s="142"/>
      <x:c r="S247" s="142"/>
      <x:c r="T247" s="142"/>
      <x:c r="U247" s="142"/>
      <x:c r="V247" s="220"/>
      <x:c r="W247" s="142"/>
      <x:c r="X247" s="208"/>
      <x:c r="Y247" s="208"/>
      <x:c r="Z247" s="142"/>
      <x:c r="AA247" s="142"/>
      <x:c r="AB247" s="202" t="str">
        <x:f>IF(A247="","",IF(AND(B247&lt;&gt;"",D247&lt;&gt;"",F247&lt;&gt;"",H247&lt;&gt;"",M247&lt;&gt;"",N247&lt;&gt;"",Q247&lt;&gt;"",R247&lt;&gt;"",U247&lt;&gt;"",V247&lt;&gt;"",W247&lt;&gt;""),"PRONTO","PENDENTE"))</x:f>
      </x:c>
      <x:c r="AC247" s="214" t="str">
        <x:f>IF(A247="","",SUMIF('PARTICIPAÇÕES FONOGRAMA'!$A$5:$A$254,A247,'PARTICIPAÇÕES FONOGRAMA'!$I$5:$I$254))</x:f>
      </x:c>
      <x:c r="AD247" s="202" t="str">
        <x:f>IF(A247="","",IF(AC247=1,"OK 100%","CONFERIR"))</x:f>
      </x:c>
      <x:c r="AE247" s="142"/>
      <x:c r="AF247" s="142"/>
      <x:c r="AG247" s="142"/>
    </x:row>
    <x:row r="248" ht="19" customHeight="1">
      <x:c r="A248" s="142"/>
      <x:c r="B248" s="142"/>
      <x:c r="C248" s="142"/>
      <x:c r="D248" s="142"/>
      <x:c r="E248" s="142"/>
      <x:c r="F248" s="142"/>
      <x:c r="G248" s="142"/>
      <x:c r="H248" s="142"/>
      <x:c r="I248" s="142"/>
      <x:c r="J248" s="142"/>
      <x:c r="K248" s="142"/>
      <x:c r="L248" s="142"/>
      <x:c r="M248" s="208"/>
      <x:c r="N248" s="208"/>
      <x:c r="O248" s="142"/>
      <x:c r="P248" s="142"/>
      <x:c r="Q248" s="142"/>
      <x:c r="R248" s="142"/>
      <x:c r="S248" s="142"/>
      <x:c r="T248" s="142"/>
      <x:c r="U248" s="142"/>
      <x:c r="V248" s="220"/>
      <x:c r="W248" s="142"/>
      <x:c r="X248" s="208"/>
      <x:c r="Y248" s="208"/>
      <x:c r="Z248" s="142"/>
      <x:c r="AA248" s="142"/>
      <x:c r="AB248" s="202" t="str">
        <x:f>IF(A248="","",IF(AND(B248&lt;&gt;"",D248&lt;&gt;"",F248&lt;&gt;"",H248&lt;&gt;"",M248&lt;&gt;"",N248&lt;&gt;"",Q248&lt;&gt;"",R248&lt;&gt;"",U248&lt;&gt;"",V248&lt;&gt;"",W248&lt;&gt;""),"PRONTO","PENDENTE"))</x:f>
      </x:c>
      <x:c r="AC248" s="214" t="str">
        <x:f>IF(A248="","",SUMIF('PARTICIPAÇÕES FONOGRAMA'!$A$5:$A$254,A248,'PARTICIPAÇÕES FONOGRAMA'!$I$5:$I$254))</x:f>
      </x:c>
      <x:c r="AD248" s="202" t="str">
        <x:f>IF(A248="","",IF(AC248=1,"OK 100%","CONFERIR"))</x:f>
      </x:c>
      <x:c r="AE248" s="142"/>
      <x:c r="AF248" s="142"/>
      <x:c r="AG248" s="142"/>
    </x:row>
    <x:row r="249" ht="19" customHeight="1">
      <x:c r="A249" s="142"/>
      <x:c r="B249" s="142"/>
      <x:c r="C249" s="142"/>
      <x:c r="D249" s="142"/>
      <x:c r="E249" s="142"/>
      <x:c r="F249" s="142"/>
      <x:c r="G249" s="142"/>
      <x:c r="H249" s="142"/>
      <x:c r="I249" s="142"/>
      <x:c r="J249" s="142"/>
      <x:c r="K249" s="142"/>
      <x:c r="L249" s="142"/>
      <x:c r="M249" s="208"/>
      <x:c r="N249" s="208"/>
      <x:c r="O249" s="142"/>
      <x:c r="P249" s="142"/>
      <x:c r="Q249" s="142"/>
      <x:c r="R249" s="142"/>
      <x:c r="S249" s="142"/>
      <x:c r="T249" s="142"/>
      <x:c r="U249" s="142"/>
      <x:c r="V249" s="220"/>
      <x:c r="W249" s="142"/>
      <x:c r="X249" s="208"/>
      <x:c r="Y249" s="208"/>
      <x:c r="Z249" s="142"/>
      <x:c r="AA249" s="142"/>
      <x:c r="AB249" s="202" t="str">
        <x:f>IF(A249="","",IF(AND(B249&lt;&gt;"",D249&lt;&gt;"",F249&lt;&gt;"",H249&lt;&gt;"",M249&lt;&gt;"",N249&lt;&gt;"",Q249&lt;&gt;"",R249&lt;&gt;"",U249&lt;&gt;"",V249&lt;&gt;"",W249&lt;&gt;""),"PRONTO","PENDENTE"))</x:f>
      </x:c>
      <x:c r="AC249" s="214" t="str">
        <x:f>IF(A249="","",SUMIF('PARTICIPAÇÕES FONOGRAMA'!$A$5:$A$254,A249,'PARTICIPAÇÕES FONOGRAMA'!$I$5:$I$254))</x:f>
      </x:c>
      <x:c r="AD249" s="202" t="str">
        <x:f>IF(A249="","",IF(AC249=1,"OK 100%","CONFERIR"))</x:f>
      </x:c>
      <x:c r="AE249" s="142"/>
      <x:c r="AF249" s="142"/>
      <x:c r="AG249" s="142"/>
    </x:row>
    <x:row r="250" ht="19" customHeight="1">
      <x:c r="A250" s="142"/>
      <x:c r="B250" s="142"/>
      <x:c r="C250" s="142"/>
      <x:c r="D250" s="142"/>
      <x:c r="E250" s="142"/>
      <x:c r="F250" s="142"/>
      <x:c r="G250" s="142"/>
      <x:c r="H250" s="142"/>
      <x:c r="I250" s="142"/>
      <x:c r="J250" s="142"/>
      <x:c r="K250" s="142"/>
      <x:c r="L250" s="142"/>
      <x:c r="M250" s="208"/>
      <x:c r="N250" s="208"/>
      <x:c r="O250" s="142"/>
      <x:c r="P250" s="142"/>
      <x:c r="Q250" s="142"/>
      <x:c r="R250" s="142"/>
      <x:c r="S250" s="142"/>
      <x:c r="T250" s="142"/>
      <x:c r="U250" s="142"/>
      <x:c r="V250" s="220"/>
      <x:c r="W250" s="142"/>
      <x:c r="X250" s="208"/>
      <x:c r="Y250" s="208"/>
      <x:c r="Z250" s="142"/>
      <x:c r="AA250" s="142"/>
      <x:c r="AB250" s="202" t="str">
        <x:f>IF(A250="","",IF(AND(B250&lt;&gt;"",D250&lt;&gt;"",F250&lt;&gt;"",H250&lt;&gt;"",M250&lt;&gt;"",N250&lt;&gt;"",Q250&lt;&gt;"",R250&lt;&gt;"",U250&lt;&gt;"",V250&lt;&gt;"",W250&lt;&gt;""),"PRONTO","PENDENTE"))</x:f>
      </x:c>
      <x:c r="AC250" s="214" t="str">
        <x:f>IF(A250="","",SUMIF('PARTICIPAÇÕES FONOGRAMA'!$A$5:$A$254,A250,'PARTICIPAÇÕES FONOGRAMA'!$I$5:$I$254))</x:f>
      </x:c>
      <x:c r="AD250" s="202" t="str">
        <x:f>IF(A250="","",IF(AC250=1,"OK 100%","CONFERIR"))</x:f>
      </x:c>
      <x:c r="AE250" s="142"/>
      <x:c r="AF250" s="142"/>
      <x:c r="AG250" s="142"/>
    </x:row>
    <x:row r="251" ht="19" customHeight="1">
      <x:c r="A251" s="142"/>
      <x:c r="B251" s="142"/>
      <x:c r="C251" s="142"/>
      <x:c r="D251" s="142"/>
      <x:c r="E251" s="142"/>
      <x:c r="F251" s="142"/>
      <x:c r="G251" s="142"/>
      <x:c r="H251" s="142"/>
      <x:c r="I251" s="142"/>
      <x:c r="J251" s="142"/>
      <x:c r="K251" s="142"/>
      <x:c r="L251" s="142"/>
      <x:c r="M251" s="208"/>
      <x:c r="N251" s="208"/>
      <x:c r="O251" s="142"/>
      <x:c r="P251" s="142"/>
      <x:c r="Q251" s="142"/>
      <x:c r="R251" s="142"/>
      <x:c r="S251" s="142"/>
      <x:c r="T251" s="142"/>
      <x:c r="U251" s="142"/>
      <x:c r="V251" s="220"/>
      <x:c r="W251" s="142"/>
      <x:c r="X251" s="208"/>
      <x:c r="Y251" s="208"/>
      <x:c r="Z251" s="142"/>
      <x:c r="AA251" s="142"/>
      <x:c r="AB251" s="202" t="str">
        <x:f>IF(A251="","",IF(AND(B251&lt;&gt;"",D251&lt;&gt;"",F251&lt;&gt;"",H251&lt;&gt;"",M251&lt;&gt;"",N251&lt;&gt;"",Q251&lt;&gt;"",R251&lt;&gt;"",U251&lt;&gt;"",V251&lt;&gt;"",W251&lt;&gt;""),"PRONTO","PENDENTE"))</x:f>
      </x:c>
      <x:c r="AC251" s="214" t="str">
        <x:f>IF(A251="","",SUMIF('PARTICIPAÇÕES FONOGRAMA'!$A$5:$A$254,A251,'PARTICIPAÇÕES FONOGRAMA'!$I$5:$I$254))</x:f>
      </x:c>
      <x:c r="AD251" s="202" t="str">
        <x:f>IF(A251="","",IF(AC251=1,"OK 100%","CONFERIR"))</x:f>
      </x:c>
      <x:c r="AE251" s="142"/>
      <x:c r="AF251" s="142"/>
      <x:c r="AG251" s="142"/>
    </x:row>
    <x:row r="252" ht="19" customHeight="1">
      <x:c r="A252" s="142"/>
      <x:c r="B252" s="142"/>
      <x:c r="C252" s="142"/>
      <x:c r="D252" s="142"/>
      <x:c r="E252" s="142"/>
      <x:c r="F252" s="142"/>
      <x:c r="G252" s="142"/>
      <x:c r="H252" s="142"/>
      <x:c r="I252" s="142"/>
      <x:c r="J252" s="142"/>
      <x:c r="K252" s="142"/>
      <x:c r="L252" s="142"/>
      <x:c r="M252" s="208"/>
      <x:c r="N252" s="208"/>
      <x:c r="O252" s="142"/>
      <x:c r="P252" s="142"/>
      <x:c r="Q252" s="142"/>
      <x:c r="R252" s="142"/>
      <x:c r="S252" s="142"/>
      <x:c r="T252" s="142"/>
      <x:c r="U252" s="142"/>
      <x:c r="V252" s="220"/>
      <x:c r="W252" s="142"/>
      <x:c r="X252" s="208"/>
      <x:c r="Y252" s="208"/>
      <x:c r="Z252" s="142"/>
      <x:c r="AA252" s="142"/>
      <x:c r="AB252" s="202" t="str">
        <x:f>IF(A252="","",IF(AND(B252&lt;&gt;"",D252&lt;&gt;"",F252&lt;&gt;"",H252&lt;&gt;"",M252&lt;&gt;"",N252&lt;&gt;"",Q252&lt;&gt;"",R252&lt;&gt;"",U252&lt;&gt;"",V252&lt;&gt;"",W252&lt;&gt;""),"PRONTO","PENDENTE"))</x:f>
      </x:c>
      <x:c r="AC252" s="214" t="str">
        <x:f>IF(A252="","",SUMIF('PARTICIPAÇÕES FONOGRAMA'!$A$5:$A$254,A252,'PARTICIPAÇÕES FONOGRAMA'!$I$5:$I$254))</x:f>
      </x:c>
      <x:c r="AD252" s="202" t="str">
        <x:f>IF(A252="","",IF(AC252=1,"OK 100%","CONFERIR"))</x:f>
      </x:c>
      <x:c r="AE252" s="142"/>
      <x:c r="AF252" s="142"/>
      <x:c r="AG252" s="142"/>
    </x:row>
    <x:row r="253" ht="19" customHeight="1">
      <x:c r="A253" s="142"/>
      <x:c r="B253" s="142"/>
      <x:c r="C253" s="142"/>
      <x:c r="D253" s="142"/>
      <x:c r="E253" s="142"/>
      <x:c r="F253" s="142"/>
      <x:c r="G253" s="142"/>
      <x:c r="H253" s="142"/>
      <x:c r="I253" s="142"/>
      <x:c r="J253" s="142"/>
      <x:c r="K253" s="142"/>
      <x:c r="L253" s="142"/>
      <x:c r="M253" s="208"/>
      <x:c r="N253" s="208"/>
      <x:c r="O253" s="142"/>
      <x:c r="P253" s="142"/>
      <x:c r="Q253" s="142"/>
      <x:c r="R253" s="142"/>
      <x:c r="S253" s="142"/>
      <x:c r="T253" s="142"/>
      <x:c r="U253" s="142"/>
      <x:c r="V253" s="220"/>
      <x:c r="W253" s="142"/>
      <x:c r="X253" s="208"/>
      <x:c r="Y253" s="208"/>
      <x:c r="Z253" s="142"/>
      <x:c r="AA253" s="142"/>
      <x:c r="AB253" s="202" t="str">
        <x:f>IF(A253="","",IF(AND(B253&lt;&gt;"",D253&lt;&gt;"",F253&lt;&gt;"",H253&lt;&gt;"",M253&lt;&gt;"",N253&lt;&gt;"",Q253&lt;&gt;"",R253&lt;&gt;"",U253&lt;&gt;"",V253&lt;&gt;"",W253&lt;&gt;""),"PRONTO","PENDENTE"))</x:f>
      </x:c>
      <x:c r="AC253" s="214" t="str">
        <x:f>IF(A253="","",SUMIF('PARTICIPAÇÕES FONOGRAMA'!$A$5:$A$254,A253,'PARTICIPAÇÕES FONOGRAMA'!$I$5:$I$254))</x:f>
      </x:c>
      <x:c r="AD253" s="202" t="str">
        <x:f>IF(A253="","",IF(AC253=1,"OK 100%","CONFERIR"))</x:f>
      </x:c>
      <x:c r="AE253" s="142"/>
      <x:c r="AF253" s="142"/>
      <x:c r="AG253" s="142"/>
    </x:row>
    <x:row r="254" ht="19" customHeight="1">
      <x:c r="A254" s="143"/>
      <x:c r="B254" s="143"/>
      <x:c r="C254" s="143"/>
      <x:c r="D254" s="143"/>
      <x:c r="E254" s="143"/>
      <x:c r="F254" s="143"/>
      <x:c r="G254" s="143"/>
      <x:c r="H254" s="143"/>
      <x:c r="I254" s="143"/>
      <x:c r="J254" s="143"/>
      <x:c r="K254" s="143"/>
      <x:c r="L254" s="143"/>
      <x:c r="M254" s="209"/>
      <x:c r="N254" s="209"/>
      <x:c r="O254" s="143"/>
      <x:c r="P254" s="143"/>
      <x:c r="Q254" s="143"/>
      <x:c r="R254" s="143"/>
      <x:c r="S254" s="143"/>
      <x:c r="T254" s="143"/>
      <x:c r="U254" s="143"/>
      <x:c r="V254" s="221"/>
      <x:c r="W254" s="143"/>
      <x:c r="X254" s="209"/>
      <x:c r="Y254" s="209"/>
      <x:c r="Z254" s="143"/>
      <x:c r="AA254" s="143"/>
      <x:c r="AB254" s="203" t="str">
        <x:f>IF(A254="","",IF(AND(B254&lt;&gt;"",D254&lt;&gt;"",F254&lt;&gt;"",H254&lt;&gt;"",M254&lt;&gt;"",N254&lt;&gt;"",Q254&lt;&gt;"",R254&lt;&gt;"",U254&lt;&gt;"",V254&lt;&gt;"",W254&lt;&gt;""),"PRONTO","PENDENTE"))</x:f>
      </x:c>
      <x:c r="AC254" s="215" t="str">
        <x:f>IF(A254="","",SUMIF('PARTICIPAÇÕES FONOGRAMA'!$A$5:$A$254,A254,'PARTICIPAÇÕES FONOGRAMA'!$I$5:$I$254))</x:f>
      </x:c>
      <x:c r="AD254" s="203" t="str">
        <x:f>IF(A254="","",IF(AC254=1,"OK 100%","CONFERIR"))</x:f>
      </x:c>
      <x:c r="AE254" s="143"/>
      <x:c r="AF254" s="143"/>
      <x:c r="AG254" s="143"/>
    </x:row>
  </x:sheetData>
  <x:mergeCells>
    <x:mergeCell ref="A1:AG1"/>
    <x:mergeCell ref="A2:AG2"/>
  </x:mergeCells>
  <x:conditionalFormatting sqref="AB5:AB254">
    <x:cfRule type="expression" dxfId="2" priority="1">
      <x:formula>AB5="PRONTO"</x:formula>
    </x:cfRule>
    <x:cfRule type="expression" dxfId="3" priority="2">
      <x:formula>AB5="PENDENTE"</x:formula>
    </x:cfRule>
  </x:conditionalFormatting>
  <x:conditionalFormatting sqref="AD5:AD254">
    <x:cfRule type="expression" dxfId="4" priority="3">
      <x:formula>AD5="OK 100%"</x:formula>
    </x:cfRule>
    <x:cfRule type="expression" dxfId="5" priority="4">
      <x:formula>AD5="CONFERIR"</x:formula>
    </x:cfRule>
  </x:conditionalFormatting>
  <x:dataValidations count="3">
    <x:dataValidation type="list" sqref="L5:L254">
      <x:formula1>"Nacional,Estrangeiro"</x:formula1>
    </x:dataValidation>
    <x:dataValidation type="list" sqref="AA5:AA254">
      <x:formula1>"Não iniciado,Em preparação,Pronto para envio,Enviado,Retorno pendente,Conflito,Produção"</x:formula1>
    </x:dataValidation>
    <x:dataValidation type="list" sqref="AE5:AE254">
      <x:formula1>"Pendente,Em validação,Liberado,Duplicidade,Bloqueado,Pendente de documentação"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6cd61994e243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5" hidden="0" customWidth="1"/>
    <x:col min="4" max="4" width="30" hidden="0" customWidth="1"/>
    <x:col min="5" max="5" width="22" hidden="0" customWidth="1"/>
    <x:col min="6" max="6" width="22" hidden="0" customWidth="1"/>
    <x:col min="7" max="7" width="18" hidden="0" customWidth="1"/>
    <x:col min="8" max="8" width="20" hidden="0" customWidth="1"/>
    <x:col min="9" max="9" width="20" hidden="0" customWidth="1"/>
    <x:col min="10" max="10" width="22" hidden="0" customWidth="1"/>
    <x:col min="11" max="11" width="20" hidden="0" customWidth="1"/>
    <x:col min="12" max="12" width="16" hidden="0" customWidth="1"/>
    <x:col min="13" max="13" width="16" hidden="0" customWidth="1"/>
    <x:col min="14" max="14" width="30" hidden="0" customWidth="1"/>
    <x:col min="15" max="15" width="18" hidden="0" customWidth="1"/>
    <x:col min="16" max="16" width="34" hidden="0" customWidth="1"/>
  </x:cols>
  <x:sheetData>
    <x:row r="1" ht="28" customHeight="1">
      <x:c r="A1" s="5" t="str">
        <x:v>PARTICIPAÇÕES DE FONOGRAMA — DIREITOS CONEXOS</x:v>
      </x:c>
    </x:row>
    <x:row r="2" ht="32" customHeight="1">
      <x:c r="A2" s="14" t="str">
        <x:v>Inclua intérpretes, produtor fonográfico, músicos executantes e demais contribuintes. A soma das participações cadastrais deve ser conferida por fonograma.</x:v>
      </x:c>
    </x:row>
    <x:row r="4" ht="34" customHeight="1">
      <x:c r="A4" s="56" t="str">
        <x:v>ID Fonograma</x:v>
      </x:c>
      <x:c r="B4" s="56" t="str">
        <x:v>ISRC</x:v>
      </x:c>
      <x:c r="C4" s="56" t="str">
        <x:v>ID Titular</x:v>
      </x:c>
      <x:c r="D4" s="56" t="str">
        <x:v>Nome / Pseudônimo</x:v>
      </x:c>
      <x:c r="E4" s="56" t="str">
        <x:v>Categoria Conexa</x:v>
      </x:c>
      <x:c r="F4" s="56" t="str">
        <x:v>Função / Instrumento</x:v>
      </x:c>
      <x:c r="G4" s="56" t="str">
        <x:v>Associação</x:v>
      </x:c>
      <x:c r="H4" s="56" t="str">
        <x:v>CAE / IPI / Party ID</x:v>
      </x:c>
      <x:c r="I4" s="56" t="str">
        <x:v>% Participação Cadastral</x:v>
      </x:c>
      <x:c r="J4" s="56" t="str">
        <x:v>% Split Contratual Interno</x:v>
      </x:c>
      <x:c r="K4" s="56" t="str">
        <x:v>Território</x:v>
      </x:c>
      <x:c r="L4" s="56" t="str">
        <x:v>Início Vigência</x:v>
      </x:c>
      <x:c r="M4" s="56" t="str">
        <x:v>Fim Vigência</x:v>
      </x:c>
      <x:c r="N4" s="56" t="str">
        <x:v>Comprovante / Contrato</x:v>
      </x:c>
      <x:c r="O4" s="56" t="str">
        <x:v>Status</x:v>
      </x:c>
      <x:c r="P4" s="56" t="str">
        <x:v>Observações</x:v>
      </x:c>
    </x:row>
    <x:row r="5" ht="19" customHeight="1">
      <x:c r="A5" s="141"/>
      <x:c r="B5" s="141"/>
      <x:c r="C5" s="141"/>
      <x:c r="D5" s="141"/>
      <x:c r="E5" s="141"/>
      <x:c r="F5" s="141"/>
      <x:c r="G5" s="141"/>
      <x:c r="H5" s="141"/>
      <x:c r="I5" s="219"/>
      <x:c r="J5" s="219"/>
      <x:c r="K5" s="141"/>
      <x:c r="L5" s="207"/>
      <x:c r="M5" s="207"/>
      <x:c r="N5" s="141"/>
      <x:c r="O5" s="141"/>
      <x:c r="P5" s="141"/>
    </x:row>
    <x:row r="6" ht="19" customHeight="1">
      <x:c r="A6" s="142"/>
      <x:c r="B6" s="142"/>
      <x:c r="C6" s="142"/>
      <x:c r="D6" s="142"/>
      <x:c r="E6" s="142"/>
      <x:c r="F6" s="142"/>
      <x:c r="G6" s="142"/>
      <x:c r="H6" s="142"/>
      <x:c r="I6" s="220"/>
      <x:c r="J6" s="220"/>
      <x:c r="K6" s="142"/>
      <x:c r="L6" s="208"/>
      <x:c r="M6" s="208"/>
      <x:c r="N6" s="142"/>
      <x:c r="O6" s="142"/>
      <x:c r="P6" s="142"/>
    </x:row>
    <x:row r="7" ht="19" customHeight="1">
      <x:c r="A7" s="142"/>
      <x:c r="B7" s="142"/>
      <x:c r="C7" s="142"/>
      <x:c r="D7" s="142"/>
      <x:c r="E7" s="142"/>
      <x:c r="F7" s="142"/>
      <x:c r="G7" s="142"/>
      <x:c r="H7" s="142"/>
      <x:c r="I7" s="220"/>
      <x:c r="J7" s="220"/>
      <x:c r="K7" s="142"/>
      <x:c r="L7" s="208"/>
      <x:c r="M7" s="208"/>
      <x:c r="N7" s="142"/>
      <x:c r="O7" s="142"/>
      <x:c r="P7" s="142"/>
    </x:row>
    <x:row r="8" ht="19" customHeight="1">
      <x:c r="A8" s="142"/>
      <x:c r="B8" s="142"/>
      <x:c r="C8" s="142"/>
      <x:c r="D8" s="142"/>
      <x:c r="E8" s="142"/>
      <x:c r="F8" s="142"/>
      <x:c r="G8" s="142"/>
      <x:c r="H8" s="142"/>
      <x:c r="I8" s="220"/>
      <x:c r="J8" s="220"/>
      <x:c r="K8" s="142"/>
      <x:c r="L8" s="208"/>
      <x:c r="M8" s="208"/>
      <x:c r="N8" s="142"/>
      <x:c r="O8" s="142"/>
      <x:c r="P8" s="142"/>
    </x:row>
    <x:row r="9" ht="19" customHeight="1">
      <x:c r="A9" s="142"/>
      <x:c r="B9" s="142"/>
      <x:c r="C9" s="142"/>
      <x:c r="D9" s="142"/>
      <x:c r="E9" s="142"/>
      <x:c r="F9" s="142"/>
      <x:c r="G9" s="142"/>
      <x:c r="H9" s="142"/>
      <x:c r="I9" s="220"/>
      <x:c r="J9" s="220"/>
      <x:c r="K9" s="142"/>
      <x:c r="L9" s="208"/>
      <x:c r="M9" s="208"/>
      <x:c r="N9" s="142"/>
      <x:c r="O9" s="142"/>
      <x:c r="P9" s="142"/>
    </x:row>
    <x:row r="10" ht="19" customHeight="1">
      <x:c r="A10" s="142"/>
      <x:c r="B10" s="142"/>
      <x:c r="C10" s="142"/>
      <x:c r="D10" s="142"/>
      <x:c r="E10" s="142"/>
      <x:c r="F10" s="142"/>
      <x:c r="G10" s="142"/>
      <x:c r="H10" s="142"/>
      <x:c r="I10" s="220"/>
      <x:c r="J10" s="220"/>
      <x:c r="K10" s="142"/>
      <x:c r="L10" s="208"/>
      <x:c r="M10" s="208"/>
      <x:c r="N10" s="142"/>
      <x:c r="O10" s="142"/>
      <x:c r="P10" s="142"/>
    </x:row>
    <x:row r="11" ht="19" customHeight="1">
      <x:c r="A11" s="142"/>
      <x:c r="B11" s="142"/>
      <x:c r="C11" s="142"/>
      <x:c r="D11" s="142"/>
      <x:c r="E11" s="142"/>
      <x:c r="F11" s="142"/>
      <x:c r="G11" s="142"/>
      <x:c r="H11" s="142"/>
      <x:c r="I11" s="220"/>
      <x:c r="J11" s="220"/>
      <x:c r="K11" s="142"/>
      <x:c r="L11" s="208"/>
      <x:c r="M11" s="208"/>
      <x:c r="N11" s="142"/>
      <x:c r="O11" s="142"/>
      <x:c r="P11" s="142"/>
    </x:row>
    <x:row r="12" ht="19" customHeight="1">
      <x:c r="A12" s="142"/>
      <x:c r="B12" s="142"/>
      <x:c r="C12" s="142"/>
      <x:c r="D12" s="142"/>
      <x:c r="E12" s="142"/>
      <x:c r="F12" s="142"/>
      <x:c r="G12" s="142"/>
      <x:c r="H12" s="142"/>
      <x:c r="I12" s="220"/>
      <x:c r="J12" s="220"/>
      <x:c r="K12" s="142"/>
      <x:c r="L12" s="208"/>
      <x:c r="M12" s="208"/>
      <x:c r="N12" s="142"/>
      <x:c r="O12" s="142"/>
      <x:c r="P12" s="142"/>
    </x:row>
    <x:row r="13" ht="19" customHeight="1">
      <x:c r="A13" s="142"/>
      <x:c r="B13" s="142"/>
      <x:c r="C13" s="142"/>
      <x:c r="D13" s="142"/>
      <x:c r="E13" s="142"/>
      <x:c r="F13" s="142"/>
      <x:c r="G13" s="142"/>
      <x:c r="H13" s="142"/>
      <x:c r="I13" s="220"/>
      <x:c r="J13" s="220"/>
      <x:c r="K13" s="142"/>
      <x:c r="L13" s="208"/>
      <x:c r="M13" s="208"/>
      <x:c r="N13" s="142"/>
      <x:c r="O13" s="142"/>
      <x:c r="P13" s="142"/>
    </x:row>
    <x:row r="14" ht="19" customHeight="1">
      <x:c r="A14" s="142"/>
      <x:c r="B14" s="142"/>
      <x:c r="C14" s="142"/>
      <x:c r="D14" s="142"/>
      <x:c r="E14" s="142"/>
      <x:c r="F14" s="142"/>
      <x:c r="G14" s="142"/>
      <x:c r="H14" s="142"/>
      <x:c r="I14" s="220"/>
      <x:c r="J14" s="220"/>
      <x:c r="K14" s="142"/>
      <x:c r="L14" s="208"/>
      <x:c r="M14" s="208"/>
      <x:c r="N14" s="142"/>
      <x:c r="O14" s="142"/>
      <x:c r="P14" s="142"/>
    </x:row>
    <x:row r="15" ht="19" customHeight="1">
      <x:c r="A15" s="142"/>
      <x:c r="B15" s="142"/>
      <x:c r="C15" s="142"/>
      <x:c r="D15" s="142"/>
      <x:c r="E15" s="142"/>
      <x:c r="F15" s="142"/>
      <x:c r="G15" s="142"/>
      <x:c r="H15" s="142"/>
      <x:c r="I15" s="220"/>
      <x:c r="J15" s="220"/>
      <x:c r="K15" s="142"/>
      <x:c r="L15" s="208"/>
      <x:c r="M15" s="208"/>
      <x:c r="N15" s="142"/>
      <x:c r="O15" s="142"/>
      <x:c r="P15" s="142"/>
    </x:row>
    <x:row r="16" ht="19" customHeight="1">
      <x:c r="A16" s="142"/>
      <x:c r="B16" s="142"/>
      <x:c r="C16" s="142"/>
      <x:c r="D16" s="142"/>
      <x:c r="E16" s="142"/>
      <x:c r="F16" s="142"/>
      <x:c r="G16" s="142"/>
      <x:c r="H16" s="142"/>
      <x:c r="I16" s="220"/>
      <x:c r="J16" s="220"/>
      <x:c r="K16" s="142"/>
      <x:c r="L16" s="208"/>
      <x:c r="M16" s="208"/>
      <x:c r="N16" s="142"/>
      <x:c r="O16" s="142"/>
      <x:c r="P16" s="142"/>
    </x:row>
    <x:row r="17" ht="19" customHeight="1">
      <x:c r="A17" s="142"/>
      <x:c r="B17" s="142"/>
      <x:c r="C17" s="142"/>
      <x:c r="D17" s="142"/>
      <x:c r="E17" s="142"/>
      <x:c r="F17" s="142"/>
      <x:c r="G17" s="142"/>
      <x:c r="H17" s="142"/>
      <x:c r="I17" s="220"/>
      <x:c r="J17" s="220"/>
      <x:c r="K17" s="142"/>
      <x:c r="L17" s="208"/>
      <x:c r="M17" s="208"/>
      <x:c r="N17" s="142"/>
      <x:c r="O17" s="142"/>
      <x:c r="P17" s="142"/>
    </x:row>
    <x:row r="18" ht="19" customHeight="1">
      <x:c r="A18" s="142"/>
      <x:c r="B18" s="142"/>
      <x:c r="C18" s="142"/>
      <x:c r="D18" s="142"/>
      <x:c r="E18" s="142"/>
      <x:c r="F18" s="142"/>
      <x:c r="G18" s="142"/>
      <x:c r="H18" s="142"/>
      <x:c r="I18" s="220"/>
      <x:c r="J18" s="220"/>
      <x:c r="K18" s="142"/>
      <x:c r="L18" s="208"/>
      <x:c r="M18" s="208"/>
      <x:c r="N18" s="142"/>
      <x:c r="O18" s="142"/>
      <x:c r="P18" s="142"/>
    </x:row>
    <x:row r="19" ht="19" customHeight="1">
      <x:c r="A19" s="142"/>
      <x:c r="B19" s="142"/>
      <x:c r="C19" s="142"/>
      <x:c r="D19" s="142"/>
      <x:c r="E19" s="142"/>
      <x:c r="F19" s="142"/>
      <x:c r="G19" s="142"/>
      <x:c r="H19" s="142"/>
      <x:c r="I19" s="220"/>
      <x:c r="J19" s="220"/>
      <x:c r="K19" s="142"/>
      <x:c r="L19" s="208"/>
      <x:c r="M19" s="208"/>
      <x:c r="N19" s="142"/>
      <x:c r="O19" s="142"/>
      <x:c r="P19" s="142"/>
    </x:row>
    <x:row r="20" ht="19" customHeight="1">
      <x:c r="A20" s="142"/>
      <x:c r="B20" s="142"/>
      <x:c r="C20" s="142"/>
      <x:c r="D20" s="142"/>
      <x:c r="E20" s="142"/>
      <x:c r="F20" s="142"/>
      <x:c r="G20" s="142"/>
      <x:c r="H20" s="142"/>
      <x:c r="I20" s="220"/>
      <x:c r="J20" s="220"/>
      <x:c r="K20" s="142"/>
      <x:c r="L20" s="208"/>
      <x:c r="M20" s="208"/>
      <x:c r="N20" s="142"/>
      <x:c r="O20" s="142"/>
      <x:c r="P20" s="142"/>
    </x:row>
    <x:row r="21" ht="19" customHeight="1">
      <x:c r="A21" s="142"/>
      <x:c r="B21" s="142"/>
      <x:c r="C21" s="142"/>
      <x:c r="D21" s="142"/>
      <x:c r="E21" s="142"/>
      <x:c r="F21" s="142"/>
      <x:c r="G21" s="142"/>
      <x:c r="H21" s="142"/>
      <x:c r="I21" s="220"/>
      <x:c r="J21" s="220"/>
      <x:c r="K21" s="142"/>
      <x:c r="L21" s="208"/>
      <x:c r="M21" s="208"/>
      <x:c r="N21" s="142"/>
      <x:c r="O21" s="142"/>
      <x:c r="P21" s="142"/>
    </x:row>
    <x:row r="22" ht="19" customHeight="1">
      <x:c r="A22" s="142"/>
      <x:c r="B22" s="142"/>
      <x:c r="C22" s="142"/>
      <x:c r="D22" s="142"/>
      <x:c r="E22" s="142"/>
      <x:c r="F22" s="142"/>
      <x:c r="G22" s="142"/>
      <x:c r="H22" s="142"/>
      <x:c r="I22" s="220"/>
      <x:c r="J22" s="220"/>
      <x:c r="K22" s="142"/>
      <x:c r="L22" s="208"/>
      <x:c r="M22" s="208"/>
      <x:c r="N22" s="142"/>
      <x:c r="O22" s="142"/>
      <x:c r="P22" s="142"/>
    </x:row>
    <x:row r="23" ht="19" customHeight="1">
      <x:c r="A23" s="142"/>
      <x:c r="B23" s="142"/>
      <x:c r="C23" s="142"/>
      <x:c r="D23" s="142"/>
      <x:c r="E23" s="142"/>
      <x:c r="F23" s="142"/>
      <x:c r="G23" s="142"/>
      <x:c r="H23" s="142"/>
      <x:c r="I23" s="220"/>
      <x:c r="J23" s="220"/>
      <x:c r="K23" s="142"/>
      <x:c r="L23" s="208"/>
      <x:c r="M23" s="208"/>
      <x:c r="N23" s="142"/>
      <x:c r="O23" s="142"/>
      <x:c r="P23" s="142"/>
    </x:row>
    <x:row r="24" ht="19" customHeight="1">
      <x:c r="A24" s="142"/>
      <x:c r="B24" s="142"/>
      <x:c r="C24" s="142"/>
      <x:c r="D24" s="142"/>
      <x:c r="E24" s="142"/>
      <x:c r="F24" s="142"/>
      <x:c r="G24" s="142"/>
      <x:c r="H24" s="142"/>
      <x:c r="I24" s="220"/>
      <x:c r="J24" s="220"/>
      <x:c r="K24" s="142"/>
      <x:c r="L24" s="208"/>
      <x:c r="M24" s="208"/>
      <x:c r="N24" s="142"/>
      <x:c r="O24" s="142"/>
      <x:c r="P24" s="142"/>
    </x:row>
    <x:row r="25" ht="19" customHeight="1">
      <x:c r="A25" s="142"/>
      <x:c r="B25" s="142"/>
      <x:c r="C25" s="142"/>
      <x:c r="D25" s="142"/>
      <x:c r="E25" s="142"/>
      <x:c r="F25" s="142"/>
      <x:c r="G25" s="142"/>
      <x:c r="H25" s="142"/>
      <x:c r="I25" s="220"/>
      <x:c r="J25" s="220"/>
      <x:c r="K25" s="142"/>
      <x:c r="L25" s="208"/>
      <x:c r="M25" s="208"/>
      <x:c r="N25" s="142"/>
      <x:c r="O25" s="142"/>
      <x:c r="P25" s="142"/>
    </x:row>
    <x:row r="26" ht="19" customHeight="1">
      <x:c r="A26" s="142"/>
      <x:c r="B26" s="142"/>
      <x:c r="C26" s="142"/>
      <x:c r="D26" s="142"/>
      <x:c r="E26" s="142"/>
      <x:c r="F26" s="142"/>
      <x:c r="G26" s="142"/>
      <x:c r="H26" s="142"/>
      <x:c r="I26" s="220"/>
      <x:c r="J26" s="220"/>
      <x:c r="K26" s="142"/>
      <x:c r="L26" s="208"/>
      <x:c r="M26" s="208"/>
      <x:c r="N26" s="142"/>
      <x:c r="O26" s="142"/>
      <x:c r="P26" s="142"/>
    </x:row>
    <x:row r="27" ht="19" customHeight="1">
      <x:c r="A27" s="142"/>
      <x:c r="B27" s="142"/>
      <x:c r="C27" s="142"/>
      <x:c r="D27" s="142"/>
      <x:c r="E27" s="142"/>
      <x:c r="F27" s="142"/>
      <x:c r="G27" s="142"/>
      <x:c r="H27" s="142"/>
      <x:c r="I27" s="220"/>
      <x:c r="J27" s="220"/>
      <x:c r="K27" s="142"/>
      <x:c r="L27" s="208"/>
      <x:c r="M27" s="208"/>
      <x:c r="N27" s="142"/>
      <x:c r="O27" s="142"/>
      <x:c r="P27" s="142"/>
    </x:row>
    <x:row r="28" ht="19" customHeight="1">
      <x:c r="A28" s="142"/>
      <x:c r="B28" s="142"/>
      <x:c r="C28" s="142"/>
      <x:c r="D28" s="142"/>
      <x:c r="E28" s="142"/>
      <x:c r="F28" s="142"/>
      <x:c r="G28" s="142"/>
      <x:c r="H28" s="142"/>
      <x:c r="I28" s="220"/>
      <x:c r="J28" s="220"/>
      <x:c r="K28" s="142"/>
      <x:c r="L28" s="208"/>
      <x:c r="M28" s="208"/>
      <x:c r="N28" s="142"/>
      <x:c r="O28" s="142"/>
      <x:c r="P28" s="142"/>
    </x:row>
    <x:row r="29" ht="19" customHeight="1">
      <x:c r="A29" s="142"/>
      <x:c r="B29" s="142"/>
      <x:c r="C29" s="142"/>
      <x:c r="D29" s="142"/>
      <x:c r="E29" s="142"/>
      <x:c r="F29" s="142"/>
      <x:c r="G29" s="142"/>
      <x:c r="H29" s="142"/>
      <x:c r="I29" s="220"/>
      <x:c r="J29" s="220"/>
      <x:c r="K29" s="142"/>
      <x:c r="L29" s="208"/>
      <x:c r="M29" s="208"/>
      <x:c r="N29" s="142"/>
      <x:c r="O29" s="142"/>
      <x:c r="P29" s="142"/>
    </x:row>
    <x:row r="30" ht="19" customHeight="1">
      <x:c r="A30" s="142"/>
      <x:c r="B30" s="142"/>
      <x:c r="C30" s="142"/>
      <x:c r="D30" s="142"/>
      <x:c r="E30" s="142"/>
      <x:c r="F30" s="142"/>
      <x:c r="G30" s="142"/>
      <x:c r="H30" s="142"/>
      <x:c r="I30" s="220"/>
      <x:c r="J30" s="220"/>
      <x:c r="K30" s="142"/>
      <x:c r="L30" s="208"/>
      <x:c r="M30" s="208"/>
      <x:c r="N30" s="142"/>
      <x:c r="O30" s="142"/>
      <x:c r="P30" s="142"/>
    </x:row>
    <x:row r="31" ht="19" customHeight="1">
      <x:c r="A31" s="142"/>
      <x:c r="B31" s="142"/>
      <x:c r="C31" s="142"/>
      <x:c r="D31" s="142"/>
      <x:c r="E31" s="142"/>
      <x:c r="F31" s="142"/>
      <x:c r="G31" s="142"/>
      <x:c r="H31" s="142"/>
      <x:c r="I31" s="220"/>
      <x:c r="J31" s="220"/>
      <x:c r="K31" s="142"/>
      <x:c r="L31" s="208"/>
      <x:c r="M31" s="208"/>
      <x:c r="N31" s="142"/>
      <x:c r="O31" s="142"/>
      <x:c r="P31" s="142"/>
    </x:row>
    <x:row r="32" ht="19" customHeight="1">
      <x:c r="A32" s="142"/>
      <x:c r="B32" s="142"/>
      <x:c r="C32" s="142"/>
      <x:c r="D32" s="142"/>
      <x:c r="E32" s="142"/>
      <x:c r="F32" s="142"/>
      <x:c r="G32" s="142"/>
      <x:c r="H32" s="142"/>
      <x:c r="I32" s="220"/>
      <x:c r="J32" s="220"/>
      <x:c r="K32" s="142"/>
      <x:c r="L32" s="208"/>
      <x:c r="M32" s="208"/>
      <x:c r="N32" s="142"/>
      <x:c r="O32" s="142"/>
      <x:c r="P32" s="142"/>
    </x:row>
    <x:row r="33" ht="19" customHeight="1">
      <x:c r="A33" s="142"/>
      <x:c r="B33" s="142"/>
      <x:c r="C33" s="142"/>
      <x:c r="D33" s="142"/>
      <x:c r="E33" s="142"/>
      <x:c r="F33" s="142"/>
      <x:c r="G33" s="142"/>
      <x:c r="H33" s="142"/>
      <x:c r="I33" s="220"/>
      <x:c r="J33" s="220"/>
      <x:c r="K33" s="142"/>
      <x:c r="L33" s="208"/>
      <x:c r="M33" s="208"/>
      <x:c r="N33" s="142"/>
      <x:c r="O33" s="142"/>
      <x:c r="P33" s="142"/>
    </x:row>
    <x:row r="34" ht="19" customHeight="1">
      <x:c r="A34" s="142"/>
      <x:c r="B34" s="142"/>
      <x:c r="C34" s="142"/>
      <x:c r="D34" s="142"/>
      <x:c r="E34" s="142"/>
      <x:c r="F34" s="142"/>
      <x:c r="G34" s="142"/>
      <x:c r="H34" s="142"/>
      <x:c r="I34" s="220"/>
      <x:c r="J34" s="220"/>
      <x:c r="K34" s="142"/>
      <x:c r="L34" s="208"/>
      <x:c r="M34" s="208"/>
      <x:c r="N34" s="142"/>
      <x:c r="O34" s="142"/>
      <x:c r="P34" s="142"/>
    </x:row>
    <x:row r="35" ht="19" customHeight="1">
      <x:c r="A35" s="142"/>
      <x:c r="B35" s="142"/>
      <x:c r="C35" s="142"/>
      <x:c r="D35" s="142"/>
      <x:c r="E35" s="142"/>
      <x:c r="F35" s="142"/>
      <x:c r="G35" s="142"/>
      <x:c r="H35" s="142"/>
      <x:c r="I35" s="220"/>
      <x:c r="J35" s="220"/>
      <x:c r="K35" s="142"/>
      <x:c r="L35" s="208"/>
      <x:c r="M35" s="208"/>
      <x:c r="N35" s="142"/>
      <x:c r="O35" s="142"/>
      <x:c r="P35" s="142"/>
    </x:row>
    <x:row r="36" ht="19" customHeight="1">
      <x:c r="A36" s="142"/>
      <x:c r="B36" s="142"/>
      <x:c r="C36" s="142"/>
      <x:c r="D36" s="142"/>
      <x:c r="E36" s="142"/>
      <x:c r="F36" s="142"/>
      <x:c r="G36" s="142"/>
      <x:c r="H36" s="142"/>
      <x:c r="I36" s="220"/>
      <x:c r="J36" s="220"/>
      <x:c r="K36" s="142"/>
      <x:c r="L36" s="208"/>
      <x:c r="M36" s="208"/>
      <x:c r="N36" s="142"/>
      <x:c r="O36" s="142"/>
      <x:c r="P36" s="142"/>
    </x:row>
    <x:row r="37" ht="19" customHeight="1">
      <x:c r="A37" s="142"/>
      <x:c r="B37" s="142"/>
      <x:c r="C37" s="142"/>
      <x:c r="D37" s="142"/>
      <x:c r="E37" s="142"/>
      <x:c r="F37" s="142"/>
      <x:c r="G37" s="142"/>
      <x:c r="H37" s="142"/>
      <x:c r="I37" s="220"/>
      <x:c r="J37" s="220"/>
      <x:c r="K37" s="142"/>
      <x:c r="L37" s="208"/>
      <x:c r="M37" s="208"/>
      <x:c r="N37" s="142"/>
      <x:c r="O37" s="142"/>
      <x:c r="P37" s="142"/>
    </x:row>
    <x:row r="38" ht="19" customHeight="1">
      <x:c r="A38" s="142"/>
      <x:c r="B38" s="142"/>
      <x:c r="C38" s="142"/>
      <x:c r="D38" s="142"/>
      <x:c r="E38" s="142"/>
      <x:c r="F38" s="142"/>
      <x:c r="G38" s="142"/>
      <x:c r="H38" s="142"/>
      <x:c r="I38" s="220"/>
      <x:c r="J38" s="220"/>
      <x:c r="K38" s="142"/>
      <x:c r="L38" s="208"/>
      <x:c r="M38" s="208"/>
      <x:c r="N38" s="142"/>
      <x:c r="O38" s="142"/>
      <x:c r="P38" s="142"/>
    </x:row>
    <x:row r="39" ht="19" customHeight="1">
      <x:c r="A39" s="142"/>
      <x:c r="B39" s="142"/>
      <x:c r="C39" s="142"/>
      <x:c r="D39" s="142"/>
      <x:c r="E39" s="142"/>
      <x:c r="F39" s="142"/>
      <x:c r="G39" s="142"/>
      <x:c r="H39" s="142"/>
      <x:c r="I39" s="220"/>
      <x:c r="J39" s="220"/>
      <x:c r="K39" s="142"/>
      <x:c r="L39" s="208"/>
      <x:c r="M39" s="208"/>
      <x:c r="N39" s="142"/>
      <x:c r="O39" s="142"/>
      <x:c r="P39" s="142"/>
    </x:row>
    <x:row r="40" ht="19" customHeight="1">
      <x:c r="A40" s="142"/>
      <x:c r="B40" s="142"/>
      <x:c r="C40" s="142"/>
      <x:c r="D40" s="142"/>
      <x:c r="E40" s="142"/>
      <x:c r="F40" s="142"/>
      <x:c r="G40" s="142"/>
      <x:c r="H40" s="142"/>
      <x:c r="I40" s="220"/>
      <x:c r="J40" s="220"/>
      <x:c r="K40" s="142"/>
      <x:c r="L40" s="208"/>
      <x:c r="M40" s="208"/>
      <x:c r="N40" s="142"/>
      <x:c r="O40" s="142"/>
      <x:c r="P40" s="142"/>
    </x:row>
    <x:row r="41" ht="19" customHeight="1">
      <x:c r="A41" s="142"/>
      <x:c r="B41" s="142"/>
      <x:c r="C41" s="142"/>
      <x:c r="D41" s="142"/>
      <x:c r="E41" s="142"/>
      <x:c r="F41" s="142"/>
      <x:c r="G41" s="142"/>
      <x:c r="H41" s="142"/>
      <x:c r="I41" s="220"/>
      <x:c r="J41" s="220"/>
      <x:c r="K41" s="142"/>
      <x:c r="L41" s="208"/>
      <x:c r="M41" s="208"/>
      <x:c r="N41" s="142"/>
      <x:c r="O41" s="142"/>
      <x:c r="P41" s="142"/>
    </x:row>
    <x:row r="42" ht="19" customHeight="1">
      <x:c r="A42" s="142"/>
      <x:c r="B42" s="142"/>
      <x:c r="C42" s="142"/>
      <x:c r="D42" s="142"/>
      <x:c r="E42" s="142"/>
      <x:c r="F42" s="142"/>
      <x:c r="G42" s="142"/>
      <x:c r="H42" s="142"/>
      <x:c r="I42" s="220"/>
      <x:c r="J42" s="220"/>
      <x:c r="K42" s="142"/>
      <x:c r="L42" s="208"/>
      <x:c r="M42" s="208"/>
      <x:c r="N42" s="142"/>
      <x:c r="O42" s="142"/>
      <x:c r="P42" s="142"/>
    </x:row>
    <x:row r="43" ht="19" customHeight="1">
      <x:c r="A43" s="142"/>
      <x:c r="B43" s="142"/>
      <x:c r="C43" s="142"/>
      <x:c r="D43" s="142"/>
      <x:c r="E43" s="142"/>
      <x:c r="F43" s="142"/>
      <x:c r="G43" s="142"/>
      <x:c r="H43" s="142"/>
      <x:c r="I43" s="220"/>
      <x:c r="J43" s="220"/>
      <x:c r="K43" s="142"/>
      <x:c r="L43" s="208"/>
      <x:c r="M43" s="208"/>
      <x:c r="N43" s="142"/>
      <x:c r="O43" s="142"/>
      <x:c r="P43" s="142"/>
    </x:row>
    <x:row r="44" ht="19" customHeight="1">
      <x:c r="A44" s="142"/>
      <x:c r="B44" s="142"/>
      <x:c r="C44" s="142"/>
      <x:c r="D44" s="142"/>
      <x:c r="E44" s="142"/>
      <x:c r="F44" s="142"/>
      <x:c r="G44" s="142"/>
      <x:c r="H44" s="142"/>
      <x:c r="I44" s="220"/>
      <x:c r="J44" s="220"/>
      <x:c r="K44" s="142"/>
      <x:c r="L44" s="208"/>
      <x:c r="M44" s="208"/>
      <x:c r="N44" s="142"/>
      <x:c r="O44" s="142"/>
      <x:c r="P44" s="142"/>
    </x:row>
    <x:row r="45" ht="19" customHeight="1">
      <x:c r="A45" s="142"/>
      <x:c r="B45" s="142"/>
      <x:c r="C45" s="142"/>
      <x:c r="D45" s="142"/>
      <x:c r="E45" s="142"/>
      <x:c r="F45" s="142"/>
      <x:c r="G45" s="142"/>
      <x:c r="H45" s="142"/>
      <x:c r="I45" s="220"/>
      <x:c r="J45" s="220"/>
      <x:c r="K45" s="142"/>
      <x:c r="L45" s="208"/>
      <x:c r="M45" s="208"/>
      <x:c r="N45" s="142"/>
      <x:c r="O45" s="142"/>
      <x:c r="P45" s="142"/>
    </x:row>
    <x:row r="46" ht="19" customHeight="1">
      <x:c r="A46" s="142"/>
      <x:c r="B46" s="142"/>
      <x:c r="C46" s="142"/>
      <x:c r="D46" s="142"/>
      <x:c r="E46" s="142"/>
      <x:c r="F46" s="142"/>
      <x:c r="G46" s="142"/>
      <x:c r="H46" s="142"/>
      <x:c r="I46" s="220"/>
      <x:c r="J46" s="220"/>
      <x:c r="K46" s="142"/>
      <x:c r="L46" s="208"/>
      <x:c r="M46" s="208"/>
      <x:c r="N46" s="142"/>
      <x:c r="O46" s="142"/>
      <x:c r="P46" s="142"/>
    </x:row>
    <x:row r="47" ht="19" customHeight="1">
      <x:c r="A47" s="142"/>
      <x:c r="B47" s="142"/>
      <x:c r="C47" s="142"/>
      <x:c r="D47" s="142"/>
      <x:c r="E47" s="142"/>
      <x:c r="F47" s="142"/>
      <x:c r="G47" s="142"/>
      <x:c r="H47" s="142"/>
      <x:c r="I47" s="220"/>
      <x:c r="J47" s="220"/>
      <x:c r="K47" s="142"/>
      <x:c r="L47" s="208"/>
      <x:c r="M47" s="208"/>
      <x:c r="N47" s="142"/>
      <x:c r="O47" s="142"/>
      <x:c r="P47" s="142"/>
    </x:row>
    <x:row r="48" ht="19" customHeight="1">
      <x:c r="A48" s="142"/>
      <x:c r="B48" s="142"/>
      <x:c r="C48" s="142"/>
      <x:c r="D48" s="142"/>
      <x:c r="E48" s="142"/>
      <x:c r="F48" s="142"/>
      <x:c r="G48" s="142"/>
      <x:c r="H48" s="142"/>
      <x:c r="I48" s="220"/>
      <x:c r="J48" s="220"/>
      <x:c r="K48" s="142"/>
      <x:c r="L48" s="208"/>
      <x:c r="M48" s="208"/>
      <x:c r="N48" s="142"/>
      <x:c r="O48" s="142"/>
      <x:c r="P48" s="142"/>
    </x:row>
    <x:row r="49" ht="19" customHeight="1">
      <x:c r="A49" s="142"/>
      <x:c r="B49" s="142"/>
      <x:c r="C49" s="142"/>
      <x:c r="D49" s="142"/>
      <x:c r="E49" s="142"/>
      <x:c r="F49" s="142"/>
      <x:c r="G49" s="142"/>
      <x:c r="H49" s="142"/>
      <x:c r="I49" s="220"/>
      <x:c r="J49" s="220"/>
      <x:c r="K49" s="142"/>
      <x:c r="L49" s="208"/>
      <x:c r="M49" s="208"/>
      <x:c r="N49" s="142"/>
      <x:c r="O49" s="142"/>
      <x:c r="P49" s="142"/>
    </x:row>
    <x:row r="50" ht="19" customHeight="1">
      <x:c r="A50" s="142"/>
      <x:c r="B50" s="142"/>
      <x:c r="C50" s="142"/>
      <x:c r="D50" s="142"/>
      <x:c r="E50" s="142"/>
      <x:c r="F50" s="142"/>
      <x:c r="G50" s="142"/>
      <x:c r="H50" s="142"/>
      <x:c r="I50" s="220"/>
      <x:c r="J50" s="220"/>
      <x:c r="K50" s="142"/>
      <x:c r="L50" s="208"/>
      <x:c r="M50" s="208"/>
      <x:c r="N50" s="142"/>
      <x:c r="O50" s="142"/>
      <x:c r="P50" s="142"/>
    </x:row>
    <x:row r="51" ht="19" customHeight="1">
      <x:c r="A51" s="142"/>
      <x:c r="B51" s="142"/>
      <x:c r="C51" s="142"/>
      <x:c r="D51" s="142"/>
      <x:c r="E51" s="142"/>
      <x:c r="F51" s="142"/>
      <x:c r="G51" s="142"/>
      <x:c r="H51" s="142"/>
      <x:c r="I51" s="220"/>
      <x:c r="J51" s="220"/>
      <x:c r="K51" s="142"/>
      <x:c r="L51" s="208"/>
      <x:c r="M51" s="208"/>
      <x:c r="N51" s="142"/>
      <x:c r="O51" s="142"/>
      <x:c r="P51" s="142"/>
    </x:row>
    <x:row r="52" ht="19" customHeight="1">
      <x:c r="A52" s="142"/>
      <x:c r="B52" s="142"/>
      <x:c r="C52" s="142"/>
      <x:c r="D52" s="142"/>
      <x:c r="E52" s="142"/>
      <x:c r="F52" s="142"/>
      <x:c r="G52" s="142"/>
      <x:c r="H52" s="142"/>
      <x:c r="I52" s="220"/>
      <x:c r="J52" s="220"/>
      <x:c r="K52" s="142"/>
      <x:c r="L52" s="208"/>
      <x:c r="M52" s="208"/>
      <x:c r="N52" s="142"/>
      <x:c r="O52" s="142"/>
      <x:c r="P52" s="142"/>
    </x:row>
    <x:row r="53" ht="19" customHeight="1">
      <x:c r="A53" s="142"/>
      <x:c r="B53" s="142"/>
      <x:c r="C53" s="142"/>
      <x:c r="D53" s="142"/>
      <x:c r="E53" s="142"/>
      <x:c r="F53" s="142"/>
      <x:c r="G53" s="142"/>
      <x:c r="H53" s="142"/>
      <x:c r="I53" s="220"/>
      <x:c r="J53" s="220"/>
      <x:c r="K53" s="142"/>
      <x:c r="L53" s="208"/>
      <x:c r="M53" s="208"/>
      <x:c r="N53" s="142"/>
      <x:c r="O53" s="142"/>
      <x:c r="P53" s="142"/>
    </x:row>
    <x:row r="54" ht="19" customHeight="1">
      <x:c r="A54" s="142"/>
      <x:c r="B54" s="142"/>
      <x:c r="C54" s="142"/>
      <x:c r="D54" s="142"/>
      <x:c r="E54" s="142"/>
      <x:c r="F54" s="142"/>
      <x:c r="G54" s="142"/>
      <x:c r="H54" s="142"/>
      <x:c r="I54" s="220"/>
      <x:c r="J54" s="220"/>
      <x:c r="K54" s="142"/>
      <x:c r="L54" s="208"/>
      <x:c r="M54" s="208"/>
      <x:c r="N54" s="142"/>
      <x:c r="O54" s="142"/>
      <x:c r="P54" s="142"/>
    </x:row>
    <x:row r="55" ht="19" customHeight="1">
      <x:c r="A55" s="142"/>
      <x:c r="B55" s="142"/>
      <x:c r="C55" s="142"/>
      <x:c r="D55" s="142"/>
      <x:c r="E55" s="142"/>
      <x:c r="F55" s="142"/>
      <x:c r="G55" s="142"/>
      <x:c r="H55" s="142"/>
      <x:c r="I55" s="220"/>
      <x:c r="J55" s="220"/>
      <x:c r="K55" s="142"/>
      <x:c r="L55" s="208"/>
      <x:c r="M55" s="208"/>
      <x:c r="N55" s="142"/>
      <x:c r="O55" s="142"/>
      <x:c r="P55" s="142"/>
    </x:row>
    <x:row r="56" ht="19" customHeight="1">
      <x:c r="A56" s="142"/>
      <x:c r="B56" s="142"/>
      <x:c r="C56" s="142"/>
      <x:c r="D56" s="142"/>
      <x:c r="E56" s="142"/>
      <x:c r="F56" s="142"/>
      <x:c r="G56" s="142"/>
      <x:c r="H56" s="142"/>
      <x:c r="I56" s="220"/>
      <x:c r="J56" s="220"/>
      <x:c r="K56" s="142"/>
      <x:c r="L56" s="208"/>
      <x:c r="M56" s="208"/>
      <x:c r="N56" s="142"/>
      <x:c r="O56" s="142"/>
      <x:c r="P56" s="142"/>
    </x:row>
    <x:row r="57" ht="19" customHeight="1">
      <x:c r="A57" s="142"/>
      <x:c r="B57" s="142"/>
      <x:c r="C57" s="142"/>
      <x:c r="D57" s="142"/>
      <x:c r="E57" s="142"/>
      <x:c r="F57" s="142"/>
      <x:c r="G57" s="142"/>
      <x:c r="H57" s="142"/>
      <x:c r="I57" s="220"/>
      <x:c r="J57" s="220"/>
      <x:c r="K57" s="142"/>
      <x:c r="L57" s="208"/>
      <x:c r="M57" s="208"/>
      <x:c r="N57" s="142"/>
      <x:c r="O57" s="142"/>
      <x:c r="P57" s="142"/>
    </x:row>
    <x:row r="58" ht="19" customHeight="1">
      <x:c r="A58" s="142"/>
      <x:c r="B58" s="142"/>
      <x:c r="C58" s="142"/>
      <x:c r="D58" s="142"/>
      <x:c r="E58" s="142"/>
      <x:c r="F58" s="142"/>
      <x:c r="G58" s="142"/>
      <x:c r="H58" s="142"/>
      <x:c r="I58" s="220"/>
      <x:c r="J58" s="220"/>
      <x:c r="K58" s="142"/>
      <x:c r="L58" s="208"/>
      <x:c r="M58" s="208"/>
      <x:c r="N58" s="142"/>
      <x:c r="O58" s="142"/>
      <x:c r="P58" s="142"/>
    </x:row>
    <x:row r="59" ht="19" customHeight="1">
      <x:c r="A59" s="142"/>
      <x:c r="B59" s="142"/>
      <x:c r="C59" s="142"/>
      <x:c r="D59" s="142"/>
      <x:c r="E59" s="142"/>
      <x:c r="F59" s="142"/>
      <x:c r="G59" s="142"/>
      <x:c r="H59" s="142"/>
      <x:c r="I59" s="220"/>
      <x:c r="J59" s="220"/>
      <x:c r="K59" s="142"/>
      <x:c r="L59" s="208"/>
      <x:c r="M59" s="208"/>
      <x:c r="N59" s="142"/>
      <x:c r="O59" s="142"/>
      <x:c r="P59" s="142"/>
    </x:row>
    <x:row r="60" ht="19" customHeight="1">
      <x:c r="A60" s="142"/>
      <x:c r="B60" s="142"/>
      <x:c r="C60" s="142"/>
      <x:c r="D60" s="142"/>
      <x:c r="E60" s="142"/>
      <x:c r="F60" s="142"/>
      <x:c r="G60" s="142"/>
      <x:c r="H60" s="142"/>
      <x:c r="I60" s="220"/>
      <x:c r="J60" s="220"/>
      <x:c r="K60" s="142"/>
      <x:c r="L60" s="208"/>
      <x:c r="M60" s="208"/>
      <x:c r="N60" s="142"/>
      <x:c r="O60" s="142"/>
      <x:c r="P60" s="142"/>
    </x:row>
    <x:row r="61" ht="19" customHeight="1">
      <x:c r="A61" s="142"/>
      <x:c r="B61" s="142"/>
      <x:c r="C61" s="142"/>
      <x:c r="D61" s="142"/>
      <x:c r="E61" s="142"/>
      <x:c r="F61" s="142"/>
      <x:c r="G61" s="142"/>
      <x:c r="H61" s="142"/>
      <x:c r="I61" s="220"/>
      <x:c r="J61" s="220"/>
      <x:c r="K61" s="142"/>
      <x:c r="L61" s="208"/>
      <x:c r="M61" s="208"/>
      <x:c r="N61" s="142"/>
      <x:c r="O61" s="142"/>
      <x:c r="P61" s="142"/>
    </x:row>
    <x:row r="62" ht="19" customHeight="1">
      <x:c r="A62" s="142"/>
      <x:c r="B62" s="142"/>
      <x:c r="C62" s="142"/>
      <x:c r="D62" s="142"/>
      <x:c r="E62" s="142"/>
      <x:c r="F62" s="142"/>
      <x:c r="G62" s="142"/>
      <x:c r="H62" s="142"/>
      <x:c r="I62" s="220"/>
      <x:c r="J62" s="220"/>
      <x:c r="K62" s="142"/>
      <x:c r="L62" s="208"/>
      <x:c r="M62" s="208"/>
      <x:c r="N62" s="142"/>
      <x:c r="O62" s="142"/>
      <x:c r="P62" s="142"/>
    </x:row>
    <x:row r="63" ht="19" customHeight="1">
      <x:c r="A63" s="142"/>
      <x:c r="B63" s="142"/>
      <x:c r="C63" s="142"/>
      <x:c r="D63" s="142"/>
      <x:c r="E63" s="142"/>
      <x:c r="F63" s="142"/>
      <x:c r="G63" s="142"/>
      <x:c r="H63" s="142"/>
      <x:c r="I63" s="220"/>
      <x:c r="J63" s="220"/>
      <x:c r="K63" s="142"/>
      <x:c r="L63" s="208"/>
      <x:c r="M63" s="208"/>
      <x:c r="N63" s="142"/>
      <x:c r="O63" s="142"/>
      <x:c r="P63" s="142"/>
    </x:row>
    <x:row r="64" ht="19" customHeight="1">
      <x:c r="A64" s="142"/>
      <x:c r="B64" s="142"/>
      <x:c r="C64" s="142"/>
      <x:c r="D64" s="142"/>
      <x:c r="E64" s="142"/>
      <x:c r="F64" s="142"/>
      <x:c r="G64" s="142"/>
      <x:c r="H64" s="142"/>
      <x:c r="I64" s="220"/>
      <x:c r="J64" s="220"/>
      <x:c r="K64" s="142"/>
      <x:c r="L64" s="208"/>
      <x:c r="M64" s="208"/>
      <x:c r="N64" s="142"/>
      <x:c r="O64" s="142"/>
      <x:c r="P64" s="142"/>
    </x:row>
    <x:row r="65" ht="19" customHeight="1">
      <x:c r="A65" s="142"/>
      <x:c r="B65" s="142"/>
      <x:c r="C65" s="142"/>
      <x:c r="D65" s="142"/>
      <x:c r="E65" s="142"/>
      <x:c r="F65" s="142"/>
      <x:c r="G65" s="142"/>
      <x:c r="H65" s="142"/>
      <x:c r="I65" s="220"/>
      <x:c r="J65" s="220"/>
      <x:c r="K65" s="142"/>
      <x:c r="L65" s="208"/>
      <x:c r="M65" s="208"/>
      <x:c r="N65" s="142"/>
      <x:c r="O65" s="142"/>
      <x:c r="P65" s="142"/>
    </x:row>
    <x:row r="66" ht="19" customHeight="1">
      <x:c r="A66" s="142"/>
      <x:c r="B66" s="142"/>
      <x:c r="C66" s="142"/>
      <x:c r="D66" s="142"/>
      <x:c r="E66" s="142"/>
      <x:c r="F66" s="142"/>
      <x:c r="G66" s="142"/>
      <x:c r="H66" s="142"/>
      <x:c r="I66" s="220"/>
      <x:c r="J66" s="220"/>
      <x:c r="K66" s="142"/>
      <x:c r="L66" s="208"/>
      <x:c r="M66" s="208"/>
      <x:c r="N66" s="142"/>
      <x:c r="O66" s="142"/>
      <x:c r="P66" s="142"/>
    </x:row>
    <x:row r="67" ht="19" customHeight="1">
      <x:c r="A67" s="142"/>
      <x:c r="B67" s="142"/>
      <x:c r="C67" s="142"/>
      <x:c r="D67" s="142"/>
      <x:c r="E67" s="142"/>
      <x:c r="F67" s="142"/>
      <x:c r="G67" s="142"/>
      <x:c r="H67" s="142"/>
      <x:c r="I67" s="220"/>
      <x:c r="J67" s="220"/>
      <x:c r="K67" s="142"/>
      <x:c r="L67" s="208"/>
      <x:c r="M67" s="208"/>
      <x:c r="N67" s="142"/>
      <x:c r="O67" s="142"/>
      <x:c r="P67" s="142"/>
    </x:row>
    <x:row r="68" ht="19" customHeight="1">
      <x:c r="A68" s="142"/>
      <x:c r="B68" s="142"/>
      <x:c r="C68" s="142"/>
      <x:c r="D68" s="142"/>
      <x:c r="E68" s="142"/>
      <x:c r="F68" s="142"/>
      <x:c r="G68" s="142"/>
      <x:c r="H68" s="142"/>
      <x:c r="I68" s="220"/>
      <x:c r="J68" s="220"/>
      <x:c r="K68" s="142"/>
      <x:c r="L68" s="208"/>
      <x:c r="M68" s="208"/>
      <x:c r="N68" s="142"/>
      <x:c r="O68" s="142"/>
      <x:c r="P68" s="142"/>
    </x:row>
    <x:row r="69" ht="19" customHeight="1">
      <x:c r="A69" s="142"/>
      <x:c r="B69" s="142"/>
      <x:c r="C69" s="142"/>
      <x:c r="D69" s="142"/>
      <x:c r="E69" s="142"/>
      <x:c r="F69" s="142"/>
      <x:c r="G69" s="142"/>
      <x:c r="H69" s="142"/>
      <x:c r="I69" s="220"/>
      <x:c r="J69" s="220"/>
      <x:c r="K69" s="142"/>
      <x:c r="L69" s="208"/>
      <x:c r="M69" s="208"/>
      <x:c r="N69" s="142"/>
      <x:c r="O69" s="142"/>
      <x:c r="P69" s="142"/>
    </x:row>
    <x:row r="70" ht="19" customHeight="1">
      <x:c r="A70" s="142"/>
      <x:c r="B70" s="142"/>
      <x:c r="C70" s="142"/>
      <x:c r="D70" s="142"/>
      <x:c r="E70" s="142"/>
      <x:c r="F70" s="142"/>
      <x:c r="G70" s="142"/>
      <x:c r="H70" s="142"/>
      <x:c r="I70" s="220"/>
      <x:c r="J70" s="220"/>
      <x:c r="K70" s="142"/>
      <x:c r="L70" s="208"/>
      <x:c r="M70" s="208"/>
      <x:c r="N70" s="142"/>
      <x:c r="O70" s="142"/>
      <x:c r="P70" s="142"/>
    </x:row>
    <x:row r="71" ht="19" customHeight="1">
      <x:c r="A71" s="142"/>
      <x:c r="B71" s="142"/>
      <x:c r="C71" s="142"/>
      <x:c r="D71" s="142"/>
      <x:c r="E71" s="142"/>
      <x:c r="F71" s="142"/>
      <x:c r="G71" s="142"/>
      <x:c r="H71" s="142"/>
      <x:c r="I71" s="220"/>
      <x:c r="J71" s="220"/>
      <x:c r="K71" s="142"/>
      <x:c r="L71" s="208"/>
      <x:c r="M71" s="208"/>
      <x:c r="N71" s="142"/>
      <x:c r="O71" s="142"/>
      <x:c r="P71" s="142"/>
    </x:row>
    <x:row r="72" ht="19" customHeight="1">
      <x:c r="A72" s="142"/>
      <x:c r="B72" s="142"/>
      <x:c r="C72" s="142"/>
      <x:c r="D72" s="142"/>
      <x:c r="E72" s="142"/>
      <x:c r="F72" s="142"/>
      <x:c r="G72" s="142"/>
      <x:c r="H72" s="142"/>
      <x:c r="I72" s="220"/>
      <x:c r="J72" s="220"/>
      <x:c r="K72" s="142"/>
      <x:c r="L72" s="208"/>
      <x:c r="M72" s="208"/>
      <x:c r="N72" s="142"/>
      <x:c r="O72" s="142"/>
      <x:c r="P72" s="142"/>
    </x:row>
    <x:row r="73" ht="19" customHeight="1">
      <x:c r="A73" s="142"/>
      <x:c r="B73" s="142"/>
      <x:c r="C73" s="142"/>
      <x:c r="D73" s="142"/>
      <x:c r="E73" s="142"/>
      <x:c r="F73" s="142"/>
      <x:c r="G73" s="142"/>
      <x:c r="H73" s="142"/>
      <x:c r="I73" s="220"/>
      <x:c r="J73" s="220"/>
      <x:c r="K73" s="142"/>
      <x:c r="L73" s="208"/>
      <x:c r="M73" s="208"/>
      <x:c r="N73" s="142"/>
      <x:c r="O73" s="142"/>
      <x:c r="P73" s="142"/>
    </x:row>
    <x:row r="74" ht="19" customHeight="1">
      <x:c r="A74" s="142"/>
      <x:c r="B74" s="142"/>
      <x:c r="C74" s="142"/>
      <x:c r="D74" s="142"/>
      <x:c r="E74" s="142"/>
      <x:c r="F74" s="142"/>
      <x:c r="G74" s="142"/>
      <x:c r="H74" s="142"/>
      <x:c r="I74" s="220"/>
      <x:c r="J74" s="220"/>
      <x:c r="K74" s="142"/>
      <x:c r="L74" s="208"/>
      <x:c r="M74" s="208"/>
      <x:c r="N74" s="142"/>
      <x:c r="O74" s="142"/>
      <x:c r="P74" s="142"/>
    </x:row>
    <x:row r="75" ht="19" customHeight="1">
      <x:c r="A75" s="142"/>
      <x:c r="B75" s="142"/>
      <x:c r="C75" s="142"/>
      <x:c r="D75" s="142"/>
      <x:c r="E75" s="142"/>
      <x:c r="F75" s="142"/>
      <x:c r="G75" s="142"/>
      <x:c r="H75" s="142"/>
      <x:c r="I75" s="220"/>
      <x:c r="J75" s="220"/>
      <x:c r="K75" s="142"/>
      <x:c r="L75" s="208"/>
      <x:c r="M75" s="208"/>
      <x:c r="N75" s="142"/>
      <x:c r="O75" s="142"/>
      <x:c r="P75" s="142"/>
    </x:row>
    <x:row r="76" ht="19" customHeight="1">
      <x:c r="A76" s="142"/>
      <x:c r="B76" s="142"/>
      <x:c r="C76" s="142"/>
      <x:c r="D76" s="142"/>
      <x:c r="E76" s="142"/>
      <x:c r="F76" s="142"/>
      <x:c r="G76" s="142"/>
      <x:c r="H76" s="142"/>
      <x:c r="I76" s="220"/>
      <x:c r="J76" s="220"/>
      <x:c r="K76" s="142"/>
      <x:c r="L76" s="208"/>
      <x:c r="M76" s="208"/>
      <x:c r="N76" s="142"/>
      <x:c r="O76" s="142"/>
      <x:c r="P76" s="142"/>
    </x:row>
    <x:row r="77" ht="19" customHeight="1">
      <x:c r="A77" s="142"/>
      <x:c r="B77" s="142"/>
      <x:c r="C77" s="142"/>
      <x:c r="D77" s="142"/>
      <x:c r="E77" s="142"/>
      <x:c r="F77" s="142"/>
      <x:c r="G77" s="142"/>
      <x:c r="H77" s="142"/>
      <x:c r="I77" s="220"/>
      <x:c r="J77" s="220"/>
      <x:c r="K77" s="142"/>
      <x:c r="L77" s="208"/>
      <x:c r="M77" s="208"/>
      <x:c r="N77" s="142"/>
      <x:c r="O77" s="142"/>
      <x:c r="P77" s="142"/>
    </x:row>
    <x:row r="78" ht="19" customHeight="1">
      <x:c r="A78" s="142"/>
      <x:c r="B78" s="142"/>
      <x:c r="C78" s="142"/>
      <x:c r="D78" s="142"/>
      <x:c r="E78" s="142"/>
      <x:c r="F78" s="142"/>
      <x:c r="G78" s="142"/>
      <x:c r="H78" s="142"/>
      <x:c r="I78" s="220"/>
      <x:c r="J78" s="220"/>
      <x:c r="K78" s="142"/>
      <x:c r="L78" s="208"/>
      <x:c r="M78" s="208"/>
      <x:c r="N78" s="142"/>
      <x:c r="O78" s="142"/>
      <x:c r="P78" s="142"/>
    </x:row>
    <x:row r="79" ht="19" customHeight="1">
      <x:c r="A79" s="142"/>
      <x:c r="B79" s="142"/>
      <x:c r="C79" s="142"/>
      <x:c r="D79" s="142"/>
      <x:c r="E79" s="142"/>
      <x:c r="F79" s="142"/>
      <x:c r="G79" s="142"/>
      <x:c r="H79" s="142"/>
      <x:c r="I79" s="220"/>
      <x:c r="J79" s="220"/>
      <x:c r="K79" s="142"/>
      <x:c r="L79" s="208"/>
      <x:c r="M79" s="208"/>
      <x:c r="N79" s="142"/>
      <x:c r="O79" s="142"/>
      <x:c r="P79" s="142"/>
    </x:row>
    <x:row r="80" ht="19" customHeight="1">
      <x:c r="A80" s="142"/>
      <x:c r="B80" s="142"/>
      <x:c r="C80" s="142"/>
      <x:c r="D80" s="142"/>
      <x:c r="E80" s="142"/>
      <x:c r="F80" s="142"/>
      <x:c r="G80" s="142"/>
      <x:c r="H80" s="142"/>
      <x:c r="I80" s="220"/>
      <x:c r="J80" s="220"/>
      <x:c r="K80" s="142"/>
      <x:c r="L80" s="208"/>
      <x:c r="M80" s="208"/>
      <x:c r="N80" s="142"/>
      <x:c r="O80" s="142"/>
      <x:c r="P80" s="142"/>
    </x:row>
    <x:row r="81" ht="19" customHeight="1">
      <x:c r="A81" s="142"/>
      <x:c r="B81" s="142"/>
      <x:c r="C81" s="142"/>
      <x:c r="D81" s="142"/>
      <x:c r="E81" s="142"/>
      <x:c r="F81" s="142"/>
      <x:c r="G81" s="142"/>
      <x:c r="H81" s="142"/>
      <x:c r="I81" s="220"/>
      <x:c r="J81" s="220"/>
      <x:c r="K81" s="142"/>
      <x:c r="L81" s="208"/>
      <x:c r="M81" s="208"/>
      <x:c r="N81" s="142"/>
      <x:c r="O81" s="142"/>
      <x:c r="P81" s="142"/>
    </x:row>
    <x:row r="82" ht="19" customHeight="1">
      <x:c r="A82" s="142"/>
      <x:c r="B82" s="142"/>
      <x:c r="C82" s="142"/>
      <x:c r="D82" s="142"/>
      <x:c r="E82" s="142"/>
      <x:c r="F82" s="142"/>
      <x:c r="G82" s="142"/>
      <x:c r="H82" s="142"/>
      <x:c r="I82" s="220"/>
      <x:c r="J82" s="220"/>
      <x:c r="K82" s="142"/>
      <x:c r="L82" s="208"/>
      <x:c r="M82" s="208"/>
      <x:c r="N82" s="142"/>
      <x:c r="O82" s="142"/>
      <x:c r="P82" s="142"/>
    </x:row>
    <x:row r="83" ht="19" customHeight="1">
      <x:c r="A83" s="142"/>
      <x:c r="B83" s="142"/>
      <x:c r="C83" s="142"/>
      <x:c r="D83" s="142"/>
      <x:c r="E83" s="142"/>
      <x:c r="F83" s="142"/>
      <x:c r="G83" s="142"/>
      <x:c r="H83" s="142"/>
      <x:c r="I83" s="220"/>
      <x:c r="J83" s="220"/>
      <x:c r="K83" s="142"/>
      <x:c r="L83" s="208"/>
      <x:c r="M83" s="208"/>
      <x:c r="N83" s="142"/>
      <x:c r="O83" s="142"/>
      <x:c r="P83" s="142"/>
    </x:row>
    <x:row r="84" ht="19" customHeight="1">
      <x:c r="A84" s="142"/>
      <x:c r="B84" s="142"/>
      <x:c r="C84" s="142"/>
      <x:c r="D84" s="142"/>
      <x:c r="E84" s="142"/>
      <x:c r="F84" s="142"/>
      <x:c r="G84" s="142"/>
      <x:c r="H84" s="142"/>
      <x:c r="I84" s="220"/>
      <x:c r="J84" s="220"/>
      <x:c r="K84" s="142"/>
      <x:c r="L84" s="208"/>
      <x:c r="M84" s="208"/>
      <x:c r="N84" s="142"/>
      <x:c r="O84" s="142"/>
      <x:c r="P84" s="142"/>
    </x:row>
    <x:row r="85" ht="19" customHeight="1">
      <x:c r="A85" s="142"/>
      <x:c r="B85" s="142"/>
      <x:c r="C85" s="142"/>
      <x:c r="D85" s="142"/>
      <x:c r="E85" s="142"/>
      <x:c r="F85" s="142"/>
      <x:c r="G85" s="142"/>
      <x:c r="H85" s="142"/>
      <x:c r="I85" s="220"/>
      <x:c r="J85" s="220"/>
      <x:c r="K85" s="142"/>
      <x:c r="L85" s="208"/>
      <x:c r="M85" s="208"/>
      <x:c r="N85" s="142"/>
      <x:c r="O85" s="142"/>
      <x:c r="P85" s="142"/>
    </x:row>
    <x:row r="86" ht="19" customHeight="1">
      <x:c r="A86" s="142"/>
      <x:c r="B86" s="142"/>
      <x:c r="C86" s="142"/>
      <x:c r="D86" s="142"/>
      <x:c r="E86" s="142"/>
      <x:c r="F86" s="142"/>
      <x:c r="G86" s="142"/>
      <x:c r="H86" s="142"/>
      <x:c r="I86" s="220"/>
      <x:c r="J86" s="220"/>
      <x:c r="K86" s="142"/>
      <x:c r="L86" s="208"/>
      <x:c r="M86" s="208"/>
      <x:c r="N86" s="142"/>
      <x:c r="O86" s="142"/>
      <x:c r="P86" s="142"/>
    </x:row>
    <x:row r="87" ht="19" customHeight="1">
      <x:c r="A87" s="142"/>
      <x:c r="B87" s="142"/>
      <x:c r="C87" s="142"/>
      <x:c r="D87" s="142"/>
      <x:c r="E87" s="142"/>
      <x:c r="F87" s="142"/>
      <x:c r="G87" s="142"/>
      <x:c r="H87" s="142"/>
      <x:c r="I87" s="220"/>
      <x:c r="J87" s="220"/>
      <x:c r="K87" s="142"/>
      <x:c r="L87" s="208"/>
      <x:c r="M87" s="208"/>
      <x:c r="N87" s="142"/>
      <x:c r="O87" s="142"/>
      <x:c r="P87" s="142"/>
    </x:row>
    <x:row r="88" ht="19" customHeight="1">
      <x:c r="A88" s="142"/>
      <x:c r="B88" s="142"/>
      <x:c r="C88" s="142"/>
      <x:c r="D88" s="142"/>
      <x:c r="E88" s="142"/>
      <x:c r="F88" s="142"/>
      <x:c r="G88" s="142"/>
      <x:c r="H88" s="142"/>
      <x:c r="I88" s="220"/>
      <x:c r="J88" s="220"/>
      <x:c r="K88" s="142"/>
      <x:c r="L88" s="208"/>
      <x:c r="M88" s="208"/>
      <x:c r="N88" s="142"/>
      <x:c r="O88" s="142"/>
      <x:c r="P88" s="142"/>
    </x:row>
    <x:row r="89" ht="19" customHeight="1">
      <x:c r="A89" s="142"/>
      <x:c r="B89" s="142"/>
      <x:c r="C89" s="142"/>
      <x:c r="D89" s="142"/>
      <x:c r="E89" s="142"/>
      <x:c r="F89" s="142"/>
      <x:c r="G89" s="142"/>
      <x:c r="H89" s="142"/>
      <x:c r="I89" s="220"/>
      <x:c r="J89" s="220"/>
      <x:c r="K89" s="142"/>
      <x:c r="L89" s="208"/>
      <x:c r="M89" s="208"/>
      <x:c r="N89" s="142"/>
      <x:c r="O89" s="142"/>
      <x:c r="P89" s="142"/>
    </x:row>
    <x:row r="90" ht="19" customHeight="1">
      <x:c r="A90" s="142"/>
      <x:c r="B90" s="142"/>
      <x:c r="C90" s="142"/>
      <x:c r="D90" s="142"/>
      <x:c r="E90" s="142"/>
      <x:c r="F90" s="142"/>
      <x:c r="G90" s="142"/>
      <x:c r="H90" s="142"/>
      <x:c r="I90" s="220"/>
      <x:c r="J90" s="220"/>
      <x:c r="K90" s="142"/>
      <x:c r="L90" s="208"/>
      <x:c r="M90" s="208"/>
      <x:c r="N90" s="142"/>
      <x:c r="O90" s="142"/>
      <x:c r="P90" s="142"/>
    </x:row>
    <x:row r="91" ht="19" customHeight="1">
      <x:c r="A91" s="142"/>
      <x:c r="B91" s="142"/>
      <x:c r="C91" s="142"/>
      <x:c r="D91" s="142"/>
      <x:c r="E91" s="142"/>
      <x:c r="F91" s="142"/>
      <x:c r="G91" s="142"/>
      <x:c r="H91" s="142"/>
      <x:c r="I91" s="220"/>
      <x:c r="J91" s="220"/>
      <x:c r="K91" s="142"/>
      <x:c r="L91" s="208"/>
      <x:c r="M91" s="208"/>
      <x:c r="N91" s="142"/>
      <x:c r="O91" s="142"/>
      <x:c r="P91" s="142"/>
    </x:row>
    <x:row r="92" ht="19" customHeight="1">
      <x:c r="A92" s="142"/>
      <x:c r="B92" s="142"/>
      <x:c r="C92" s="142"/>
      <x:c r="D92" s="142"/>
      <x:c r="E92" s="142"/>
      <x:c r="F92" s="142"/>
      <x:c r="G92" s="142"/>
      <x:c r="H92" s="142"/>
      <x:c r="I92" s="220"/>
      <x:c r="J92" s="220"/>
      <x:c r="K92" s="142"/>
      <x:c r="L92" s="208"/>
      <x:c r="M92" s="208"/>
      <x:c r="N92" s="142"/>
      <x:c r="O92" s="142"/>
      <x:c r="P92" s="142"/>
    </x:row>
    <x:row r="93" ht="19" customHeight="1">
      <x:c r="A93" s="142"/>
      <x:c r="B93" s="142"/>
      <x:c r="C93" s="142"/>
      <x:c r="D93" s="142"/>
      <x:c r="E93" s="142"/>
      <x:c r="F93" s="142"/>
      <x:c r="G93" s="142"/>
      <x:c r="H93" s="142"/>
      <x:c r="I93" s="220"/>
      <x:c r="J93" s="220"/>
      <x:c r="K93" s="142"/>
      <x:c r="L93" s="208"/>
      <x:c r="M93" s="208"/>
      <x:c r="N93" s="142"/>
      <x:c r="O93" s="142"/>
      <x:c r="P93" s="142"/>
    </x:row>
    <x:row r="94" ht="19" customHeight="1">
      <x:c r="A94" s="142"/>
      <x:c r="B94" s="142"/>
      <x:c r="C94" s="142"/>
      <x:c r="D94" s="142"/>
      <x:c r="E94" s="142"/>
      <x:c r="F94" s="142"/>
      <x:c r="G94" s="142"/>
      <x:c r="H94" s="142"/>
      <x:c r="I94" s="220"/>
      <x:c r="J94" s="220"/>
      <x:c r="K94" s="142"/>
      <x:c r="L94" s="208"/>
      <x:c r="M94" s="208"/>
      <x:c r="N94" s="142"/>
      <x:c r="O94" s="142"/>
      <x:c r="P94" s="142"/>
    </x:row>
    <x:row r="95" ht="19" customHeight="1">
      <x:c r="A95" s="142"/>
      <x:c r="B95" s="142"/>
      <x:c r="C95" s="142"/>
      <x:c r="D95" s="142"/>
      <x:c r="E95" s="142"/>
      <x:c r="F95" s="142"/>
      <x:c r="G95" s="142"/>
      <x:c r="H95" s="142"/>
      <x:c r="I95" s="220"/>
      <x:c r="J95" s="220"/>
      <x:c r="K95" s="142"/>
      <x:c r="L95" s="208"/>
      <x:c r="M95" s="208"/>
      <x:c r="N95" s="142"/>
      <x:c r="O95" s="142"/>
      <x:c r="P95" s="142"/>
    </x:row>
    <x:row r="96" ht="19" customHeight="1">
      <x:c r="A96" s="142"/>
      <x:c r="B96" s="142"/>
      <x:c r="C96" s="142"/>
      <x:c r="D96" s="142"/>
      <x:c r="E96" s="142"/>
      <x:c r="F96" s="142"/>
      <x:c r="G96" s="142"/>
      <x:c r="H96" s="142"/>
      <x:c r="I96" s="220"/>
      <x:c r="J96" s="220"/>
      <x:c r="K96" s="142"/>
      <x:c r="L96" s="208"/>
      <x:c r="M96" s="208"/>
      <x:c r="N96" s="142"/>
      <x:c r="O96" s="142"/>
      <x:c r="P96" s="142"/>
    </x:row>
    <x:row r="97" ht="19" customHeight="1">
      <x:c r="A97" s="142"/>
      <x:c r="B97" s="142"/>
      <x:c r="C97" s="142"/>
      <x:c r="D97" s="142"/>
      <x:c r="E97" s="142"/>
      <x:c r="F97" s="142"/>
      <x:c r="G97" s="142"/>
      <x:c r="H97" s="142"/>
      <x:c r="I97" s="220"/>
      <x:c r="J97" s="220"/>
      <x:c r="K97" s="142"/>
      <x:c r="L97" s="208"/>
      <x:c r="M97" s="208"/>
      <x:c r="N97" s="142"/>
      <x:c r="O97" s="142"/>
      <x:c r="P97" s="142"/>
    </x:row>
    <x:row r="98" ht="19" customHeight="1">
      <x:c r="A98" s="142"/>
      <x:c r="B98" s="142"/>
      <x:c r="C98" s="142"/>
      <x:c r="D98" s="142"/>
      <x:c r="E98" s="142"/>
      <x:c r="F98" s="142"/>
      <x:c r="G98" s="142"/>
      <x:c r="H98" s="142"/>
      <x:c r="I98" s="220"/>
      <x:c r="J98" s="220"/>
      <x:c r="K98" s="142"/>
      <x:c r="L98" s="208"/>
      <x:c r="M98" s="208"/>
      <x:c r="N98" s="142"/>
      <x:c r="O98" s="142"/>
      <x:c r="P98" s="142"/>
    </x:row>
    <x:row r="99" ht="19" customHeight="1">
      <x:c r="A99" s="142"/>
      <x:c r="B99" s="142"/>
      <x:c r="C99" s="142"/>
      <x:c r="D99" s="142"/>
      <x:c r="E99" s="142"/>
      <x:c r="F99" s="142"/>
      <x:c r="G99" s="142"/>
      <x:c r="H99" s="142"/>
      <x:c r="I99" s="220"/>
      <x:c r="J99" s="220"/>
      <x:c r="K99" s="142"/>
      <x:c r="L99" s="208"/>
      <x:c r="M99" s="208"/>
      <x:c r="N99" s="142"/>
      <x:c r="O99" s="142"/>
      <x:c r="P99" s="142"/>
    </x:row>
    <x:row r="100" ht="19" customHeight="1">
      <x:c r="A100" s="142"/>
      <x:c r="B100" s="142"/>
      <x:c r="C100" s="142"/>
      <x:c r="D100" s="142"/>
      <x:c r="E100" s="142"/>
      <x:c r="F100" s="142"/>
      <x:c r="G100" s="142"/>
      <x:c r="H100" s="142"/>
      <x:c r="I100" s="220"/>
      <x:c r="J100" s="220"/>
      <x:c r="K100" s="142"/>
      <x:c r="L100" s="208"/>
      <x:c r="M100" s="208"/>
      <x:c r="N100" s="142"/>
      <x:c r="O100" s="142"/>
      <x:c r="P100" s="142"/>
    </x:row>
    <x:row r="101" ht="19" customHeight="1">
      <x:c r="A101" s="142"/>
      <x:c r="B101" s="142"/>
      <x:c r="C101" s="142"/>
      <x:c r="D101" s="142"/>
      <x:c r="E101" s="142"/>
      <x:c r="F101" s="142"/>
      <x:c r="G101" s="142"/>
      <x:c r="H101" s="142"/>
      <x:c r="I101" s="220"/>
      <x:c r="J101" s="220"/>
      <x:c r="K101" s="142"/>
      <x:c r="L101" s="208"/>
      <x:c r="M101" s="208"/>
      <x:c r="N101" s="142"/>
      <x:c r="O101" s="142"/>
      <x:c r="P101" s="142"/>
    </x:row>
    <x:row r="102" ht="19" customHeight="1">
      <x:c r="A102" s="142"/>
      <x:c r="B102" s="142"/>
      <x:c r="C102" s="142"/>
      <x:c r="D102" s="142"/>
      <x:c r="E102" s="142"/>
      <x:c r="F102" s="142"/>
      <x:c r="G102" s="142"/>
      <x:c r="H102" s="142"/>
      <x:c r="I102" s="220"/>
      <x:c r="J102" s="220"/>
      <x:c r="K102" s="142"/>
      <x:c r="L102" s="208"/>
      <x:c r="M102" s="208"/>
      <x:c r="N102" s="142"/>
      <x:c r="O102" s="142"/>
      <x:c r="P102" s="142"/>
    </x:row>
    <x:row r="103" ht="19" customHeight="1">
      <x:c r="A103" s="142"/>
      <x:c r="B103" s="142"/>
      <x:c r="C103" s="142"/>
      <x:c r="D103" s="142"/>
      <x:c r="E103" s="142"/>
      <x:c r="F103" s="142"/>
      <x:c r="G103" s="142"/>
      <x:c r="H103" s="142"/>
      <x:c r="I103" s="220"/>
      <x:c r="J103" s="220"/>
      <x:c r="K103" s="142"/>
      <x:c r="L103" s="208"/>
      <x:c r="M103" s="208"/>
      <x:c r="N103" s="142"/>
      <x:c r="O103" s="142"/>
      <x:c r="P103" s="142"/>
    </x:row>
    <x:row r="104" ht="19" customHeight="1">
      <x:c r="A104" s="142"/>
      <x:c r="B104" s="142"/>
      <x:c r="C104" s="142"/>
      <x:c r="D104" s="142"/>
      <x:c r="E104" s="142"/>
      <x:c r="F104" s="142"/>
      <x:c r="G104" s="142"/>
      <x:c r="H104" s="142"/>
      <x:c r="I104" s="220"/>
      <x:c r="J104" s="220"/>
      <x:c r="K104" s="142"/>
      <x:c r="L104" s="208"/>
      <x:c r="M104" s="208"/>
      <x:c r="N104" s="142"/>
      <x:c r="O104" s="142"/>
      <x:c r="P104" s="142"/>
    </x:row>
    <x:row r="105" ht="19" customHeight="1">
      <x:c r="A105" s="142"/>
      <x:c r="B105" s="142"/>
      <x:c r="C105" s="142"/>
      <x:c r="D105" s="142"/>
      <x:c r="E105" s="142"/>
      <x:c r="F105" s="142"/>
      <x:c r="G105" s="142"/>
      <x:c r="H105" s="142"/>
      <x:c r="I105" s="220"/>
      <x:c r="J105" s="220"/>
      <x:c r="K105" s="142"/>
      <x:c r="L105" s="208"/>
      <x:c r="M105" s="208"/>
      <x:c r="N105" s="142"/>
      <x:c r="O105" s="142"/>
      <x:c r="P105" s="142"/>
    </x:row>
    <x:row r="106" ht="19" customHeight="1">
      <x:c r="A106" s="142"/>
      <x:c r="B106" s="142"/>
      <x:c r="C106" s="142"/>
      <x:c r="D106" s="142"/>
      <x:c r="E106" s="142"/>
      <x:c r="F106" s="142"/>
      <x:c r="G106" s="142"/>
      <x:c r="H106" s="142"/>
      <x:c r="I106" s="220"/>
      <x:c r="J106" s="220"/>
      <x:c r="K106" s="142"/>
      <x:c r="L106" s="208"/>
      <x:c r="M106" s="208"/>
      <x:c r="N106" s="142"/>
      <x:c r="O106" s="142"/>
      <x:c r="P106" s="142"/>
    </x:row>
    <x:row r="107" ht="19" customHeight="1">
      <x:c r="A107" s="142"/>
      <x:c r="B107" s="142"/>
      <x:c r="C107" s="142"/>
      <x:c r="D107" s="142"/>
      <x:c r="E107" s="142"/>
      <x:c r="F107" s="142"/>
      <x:c r="G107" s="142"/>
      <x:c r="H107" s="142"/>
      <x:c r="I107" s="220"/>
      <x:c r="J107" s="220"/>
      <x:c r="K107" s="142"/>
      <x:c r="L107" s="208"/>
      <x:c r="M107" s="208"/>
      <x:c r="N107" s="142"/>
      <x:c r="O107" s="142"/>
      <x:c r="P107" s="142"/>
    </x:row>
    <x:row r="108" ht="19" customHeight="1">
      <x:c r="A108" s="142"/>
      <x:c r="B108" s="142"/>
      <x:c r="C108" s="142"/>
      <x:c r="D108" s="142"/>
      <x:c r="E108" s="142"/>
      <x:c r="F108" s="142"/>
      <x:c r="G108" s="142"/>
      <x:c r="H108" s="142"/>
      <x:c r="I108" s="220"/>
      <x:c r="J108" s="220"/>
      <x:c r="K108" s="142"/>
      <x:c r="L108" s="208"/>
      <x:c r="M108" s="208"/>
      <x:c r="N108" s="142"/>
      <x:c r="O108" s="142"/>
      <x:c r="P108" s="142"/>
    </x:row>
    <x:row r="109" ht="19" customHeight="1">
      <x:c r="A109" s="142"/>
      <x:c r="B109" s="142"/>
      <x:c r="C109" s="142"/>
      <x:c r="D109" s="142"/>
      <x:c r="E109" s="142"/>
      <x:c r="F109" s="142"/>
      <x:c r="G109" s="142"/>
      <x:c r="H109" s="142"/>
      <x:c r="I109" s="220"/>
      <x:c r="J109" s="220"/>
      <x:c r="K109" s="142"/>
      <x:c r="L109" s="208"/>
      <x:c r="M109" s="208"/>
      <x:c r="N109" s="142"/>
      <x:c r="O109" s="142"/>
      <x:c r="P109" s="142"/>
    </x:row>
    <x:row r="110" ht="19" customHeight="1">
      <x:c r="A110" s="142"/>
      <x:c r="B110" s="142"/>
      <x:c r="C110" s="142"/>
      <x:c r="D110" s="142"/>
      <x:c r="E110" s="142"/>
      <x:c r="F110" s="142"/>
      <x:c r="G110" s="142"/>
      <x:c r="H110" s="142"/>
      <x:c r="I110" s="220"/>
      <x:c r="J110" s="220"/>
      <x:c r="K110" s="142"/>
      <x:c r="L110" s="208"/>
      <x:c r="M110" s="208"/>
      <x:c r="N110" s="142"/>
      <x:c r="O110" s="142"/>
      <x:c r="P110" s="142"/>
    </x:row>
    <x:row r="111" ht="19" customHeight="1">
      <x:c r="A111" s="142"/>
      <x:c r="B111" s="142"/>
      <x:c r="C111" s="142"/>
      <x:c r="D111" s="142"/>
      <x:c r="E111" s="142"/>
      <x:c r="F111" s="142"/>
      <x:c r="G111" s="142"/>
      <x:c r="H111" s="142"/>
      <x:c r="I111" s="220"/>
      <x:c r="J111" s="220"/>
      <x:c r="K111" s="142"/>
      <x:c r="L111" s="208"/>
      <x:c r="M111" s="208"/>
      <x:c r="N111" s="142"/>
      <x:c r="O111" s="142"/>
      <x:c r="P111" s="142"/>
    </x:row>
    <x:row r="112" ht="19" customHeight="1">
      <x:c r="A112" s="142"/>
      <x:c r="B112" s="142"/>
      <x:c r="C112" s="142"/>
      <x:c r="D112" s="142"/>
      <x:c r="E112" s="142"/>
      <x:c r="F112" s="142"/>
      <x:c r="G112" s="142"/>
      <x:c r="H112" s="142"/>
      <x:c r="I112" s="220"/>
      <x:c r="J112" s="220"/>
      <x:c r="K112" s="142"/>
      <x:c r="L112" s="208"/>
      <x:c r="M112" s="208"/>
      <x:c r="N112" s="142"/>
      <x:c r="O112" s="142"/>
      <x:c r="P112" s="142"/>
    </x:row>
    <x:row r="113" ht="19" customHeight="1">
      <x:c r="A113" s="142"/>
      <x:c r="B113" s="142"/>
      <x:c r="C113" s="142"/>
      <x:c r="D113" s="142"/>
      <x:c r="E113" s="142"/>
      <x:c r="F113" s="142"/>
      <x:c r="G113" s="142"/>
      <x:c r="H113" s="142"/>
      <x:c r="I113" s="220"/>
      <x:c r="J113" s="220"/>
      <x:c r="K113" s="142"/>
      <x:c r="L113" s="208"/>
      <x:c r="M113" s="208"/>
      <x:c r="N113" s="142"/>
      <x:c r="O113" s="142"/>
      <x:c r="P113" s="142"/>
    </x:row>
    <x:row r="114" ht="19" customHeight="1">
      <x:c r="A114" s="142"/>
      <x:c r="B114" s="142"/>
      <x:c r="C114" s="142"/>
      <x:c r="D114" s="142"/>
      <x:c r="E114" s="142"/>
      <x:c r="F114" s="142"/>
      <x:c r="G114" s="142"/>
      <x:c r="H114" s="142"/>
      <x:c r="I114" s="220"/>
      <x:c r="J114" s="220"/>
      <x:c r="K114" s="142"/>
      <x:c r="L114" s="208"/>
      <x:c r="M114" s="208"/>
      <x:c r="N114" s="142"/>
      <x:c r="O114" s="142"/>
      <x:c r="P114" s="142"/>
    </x:row>
    <x:row r="115" ht="19" customHeight="1">
      <x:c r="A115" s="142"/>
      <x:c r="B115" s="142"/>
      <x:c r="C115" s="142"/>
      <x:c r="D115" s="142"/>
      <x:c r="E115" s="142"/>
      <x:c r="F115" s="142"/>
      <x:c r="G115" s="142"/>
      <x:c r="H115" s="142"/>
      <x:c r="I115" s="220"/>
      <x:c r="J115" s="220"/>
      <x:c r="K115" s="142"/>
      <x:c r="L115" s="208"/>
      <x:c r="M115" s="208"/>
      <x:c r="N115" s="142"/>
      <x:c r="O115" s="142"/>
      <x:c r="P115" s="142"/>
    </x:row>
    <x:row r="116" ht="19" customHeight="1">
      <x:c r="A116" s="142"/>
      <x:c r="B116" s="142"/>
      <x:c r="C116" s="142"/>
      <x:c r="D116" s="142"/>
      <x:c r="E116" s="142"/>
      <x:c r="F116" s="142"/>
      <x:c r="G116" s="142"/>
      <x:c r="H116" s="142"/>
      <x:c r="I116" s="220"/>
      <x:c r="J116" s="220"/>
      <x:c r="K116" s="142"/>
      <x:c r="L116" s="208"/>
      <x:c r="M116" s="208"/>
      <x:c r="N116" s="142"/>
      <x:c r="O116" s="142"/>
      <x:c r="P116" s="142"/>
    </x:row>
    <x:row r="117" ht="19" customHeight="1">
      <x:c r="A117" s="142"/>
      <x:c r="B117" s="142"/>
      <x:c r="C117" s="142"/>
      <x:c r="D117" s="142"/>
      <x:c r="E117" s="142"/>
      <x:c r="F117" s="142"/>
      <x:c r="G117" s="142"/>
      <x:c r="H117" s="142"/>
      <x:c r="I117" s="220"/>
      <x:c r="J117" s="220"/>
      <x:c r="K117" s="142"/>
      <x:c r="L117" s="208"/>
      <x:c r="M117" s="208"/>
      <x:c r="N117" s="142"/>
      <x:c r="O117" s="142"/>
      <x:c r="P117" s="142"/>
    </x:row>
    <x:row r="118" ht="19" customHeight="1">
      <x:c r="A118" s="142"/>
      <x:c r="B118" s="142"/>
      <x:c r="C118" s="142"/>
      <x:c r="D118" s="142"/>
      <x:c r="E118" s="142"/>
      <x:c r="F118" s="142"/>
      <x:c r="G118" s="142"/>
      <x:c r="H118" s="142"/>
      <x:c r="I118" s="220"/>
      <x:c r="J118" s="220"/>
      <x:c r="K118" s="142"/>
      <x:c r="L118" s="208"/>
      <x:c r="M118" s="208"/>
      <x:c r="N118" s="142"/>
      <x:c r="O118" s="142"/>
      <x:c r="P118" s="142"/>
    </x:row>
    <x:row r="119" ht="19" customHeight="1">
      <x:c r="A119" s="142"/>
      <x:c r="B119" s="142"/>
      <x:c r="C119" s="142"/>
      <x:c r="D119" s="142"/>
      <x:c r="E119" s="142"/>
      <x:c r="F119" s="142"/>
      <x:c r="G119" s="142"/>
      <x:c r="H119" s="142"/>
      <x:c r="I119" s="220"/>
      <x:c r="J119" s="220"/>
      <x:c r="K119" s="142"/>
      <x:c r="L119" s="208"/>
      <x:c r="M119" s="208"/>
      <x:c r="N119" s="142"/>
      <x:c r="O119" s="142"/>
      <x:c r="P119" s="142"/>
    </x:row>
    <x:row r="120" ht="19" customHeight="1">
      <x:c r="A120" s="142"/>
      <x:c r="B120" s="142"/>
      <x:c r="C120" s="142"/>
      <x:c r="D120" s="142"/>
      <x:c r="E120" s="142"/>
      <x:c r="F120" s="142"/>
      <x:c r="G120" s="142"/>
      <x:c r="H120" s="142"/>
      <x:c r="I120" s="220"/>
      <x:c r="J120" s="220"/>
      <x:c r="K120" s="142"/>
      <x:c r="L120" s="208"/>
      <x:c r="M120" s="208"/>
      <x:c r="N120" s="142"/>
      <x:c r="O120" s="142"/>
      <x:c r="P120" s="142"/>
    </x:row>
    <x:row r="121" ht="19" customHeight="1">
      <x:c r="A121" s="142"/>
      <x:c r="B121" s="142"/>
      <x:c r="C121" s="142"/>
      <x:c r="D121" s="142"/>
      <x:c r="E121" s="142"/>
      <x:c r="F121" s="142"/>
      <x:c r="G121" s="142"/>
      <x:c r="H121" s="142"/>
      <x:c r="I121" s="220"/>
      <x:c r="J121" s="220"/>
      <x:c r="K121" s="142"/>
      <x:c r="L121" s="208"/>
      <x:c r="M121" s="208"/>
      <x:c r="N121" s="142"/>
      <x:c r="O121" s="142"/>
      <x:c r="P121" s="142"/>
    </x:row>
    <x:row r="122" ht="19" customHeight="1">
      <x:c r="A122" s="142"/>
      <x:c r="B122" s="142"/>
      <x:c r="C122" s="142"/>
      <x:c r="D122" s="142"/>
      <x:c r="E122" s="142"/>
      <x:c r="F122" s="142"/>
      <x:c r="G122" s="142"/>
      <x:c r="H122" s="142"/>
      <x:c r="I122" s="220"/>
      <x:c r="J122" s="220"/>
      <x:c r="K122" s="142"/>
      <x:c r="L122" s="208"/>
      <x:c r="M122" s="208"/>
      <x:c r="N122" s="142"/>
      <x:c r="O122" s="142"/>
      <x:c r="P122" s="142"/>
    </x:row>
    <x:row r="123" ht="19" customHeight="1">
      <x:c r="A123" s="142"/>
      <x:c r="B123" s="142"/>
      <x:c r="C123" s="142"/>
      <x:c r="D123" s="142"/>
      <x:c r="E123" s="142"/>
      <x:c r="F123" s="142"/>
      <x:c r="G123" s="142"/>
      <x:c r="H123" s="142"/>
      <x:c r="I123" s="220"/>
      <x:c r="J123" s="220"/>
      <x:c r="K123" s="142"/>
      <x:c r="L123" s="208"/>
      <x:c r="M123" s="208"/>
      <x:c r="N123" s="142"/>
      <x:c r="O123" s="142"/>
      <x:c r="P123" s="142"/>
    </x:row>
    <x:row r="124" ht="19" customHeight="1">
      <x:c r="A124" s="142"/>
      <x:c r="B124" s="142"/>
      <x:c r="C124" s="142"/>
      <x:c r="D124" s="142"/>
      <x:c r="E124" s="142"/>
      <x:c r="F124" s="142"/>
      <x:c r="G124" s="142"/>
      <x:c r="H124" s="142"/>
      <x:c r="I124" s="220"/>
      <x:c r="J124" s="220"/>
      <x:c r="K124" s="142"/>
      <x:c r="L124" s="208"/>
      <x:c r="M124" s="208"/>
      <x:c r="N124" s="142"/>
      <x:c r="O124" s="142"/>
      <x:c r="P124" s="142"/>
    </x:row>
    <x:row r="125" ht="19" customHeight="1">
      <x:c r="A125" s="142"/>
      <x:c r="B125" s="142"/>
      <x:c r="C125" s="142"/>
      <x:c r="D125" s="142"/>
      <x:c r="E125" s="142"/>
      <x:c r="F125" s="142"/>
      <x:c r="G125" s="142"/>
      <x:c r="H125" s="142"/>
      <x:c r="I125" s="220"/>
      <x:c r="J125" s="220"/>
      <x:c r="K125" s="142"/>
      <x:c r="L125" s="208"/>
      <x:c r="M125" s="208"/>
      <x:c r="N125" s="142"/>
      <x:c r="O125" s="142"/>
      <x:c r="P125" s="142"/>
    </x:row>
    <x:row r="126" ht="19" customHeight="1">
      <x:c r="A126" s="142"/>
      <x:c r="B126" s="142"/>
      <x:c r="C126" s="142"/>
      <x:c r="D126" s="142"/>
      <x:c r="E126" s="142"/>
      <x:c r="F126" s="142"/>
      <x:c r="G126" s="142"/>
      <x:c r="H126" s="142"/>
      <x:c r="I126" s="220"/>
      <x:c r="J126" s="220"/>
      <x:c r="K126" s="142"/>
      <x:c r="L126" s="208"/>
      <x:c r="M126" s="208"/>
      <x:c r="N126" s="142"/>
      <x:c r="O126" s="142"/>
      <x:c r="P126" s="142"/>
    </x:row>
    <x:row r="127" ht="19" customHeight="1">
      <x:c r="A127" s="142"/>
      <x:c r="B127" s="142"/>
      <x:c r="C127" s="142"/>
      <x:c r="D127" s="142"/>
      <x:c r="E127" s="142"/>
      <x:c r="F127" s="142"/>
      <x:c r="G127" s="142"/>
      <x:c r="H127" s="142"/>
      <x:c r="I127" s="220"/>
      <x:c r="J127" s="220"/>
      <x:c r="K127" s="142"/>
      <x:c r="L127" s="208"/>
      <x:c r="M127" s="208"/>
      <x:c r="N127" s="142"/>
      <x:c r="O127" s="142"/>
      <x:c r="P127" s="142"/>
    </x:row>
    <x:row r="128" ht="19" customHeight="1">
      <x:c r="A128" s="142"/>
      <x:c r="B128" s="142"/>
      <x:c r="C128" s="142"/>
      <x:c r="D128" s="142"/>
      <x:c r="E128" s="142"/>
      <x:c r="F128" s="142"/>
      <x:c r="G128" s="142"/>
      <x:c r="H128" s="142"/>
      <x:c r="I128" s="220"/>
      <x:c r="J128" s="220"/>
      <x:c r="K128" s="142"/>
      <x:c r="L128" s="208"/>
      <x:c r="M128" s="208"/>
      <x:c r="N128" s="142"/>
      <x:c r="O128" s="142"/>
      <x:c r="P128" s="142"/>
    </x:row>
    <x:row r="129" ht="19" customHeight="1">
      <x:c r="A129" s="142"/>
      <x:c r="B129" s="142"/>
      <x:c r="C129" s="142"/>
      <x:c r="D129" s="142"/>
      <x:c r="E129" s="142"/>
      <x:c r="F129" s="142"/>
      <x:c r="G129" s="142"/>
      <x:c r="H129" s="142"/>
      <x:c r="I129" s="220"/>
      <x:c r="J129" s="220"/>
      <x:c r="K129" s="142"/>
      <x:c r="L129" s="208"/>
      <x:c r="M129" s="208"/>
      <x:c r="N129" s="142"/>
      <x:c r="O129" s="142"/>
      <x:c r="P129" s="142"/>
    </x:row>
    <x:row r="130" ht="19" customHeight="1">
      <x:c r="A130" s="142"/>
      <x:c r="B130" s="142"/>
      <x:c r="C130" s="142"/>
      <x:c r="D130" s="142"/>
      <x:c r="E130" s="142"/>
      <x:c r="F130" s="142"/>
      <x:c r="G130" s="142"/>
      <x:c r="H130" s="142"/>
      <x:c r="I130" s="220"/>
      <x:c r="J130" s="220"/>
      <x:c r="K130" s="142"/>
      <x:c r="L130" s="208"/>
      <x:c r="M130" s="208"/>
      <x:c r="N130" s="142"/>
      <x:c r="O130" s="142"/>
      <x:c r="P130" s="142"/>
    </x:row>
    <x:row r="131" ht="19" customHeight="1">
      <x:c r="A131" s="142"/>
      <x:c r="B131" s="142"/>
      <x:c r="C131" s="142"/>
      <x:c r="D131" s="142"/>
      <x:c r="E131" s="142"/>
      <x:c r="F131" s="142"/>
      <x:c r="G131" s="142"/>
      <x:c r="H131" s="142"/>
      <x:c r="I131" s="220"/>
      <x:c r="J131" s="220"/>
      <x:c r="K131" s="142"/>
      <x:c r="L131" s="208"/>
      <x:c r="M131" s="208"/>
      <x:c r="N131" s="142"/>
      <x:c r="O131" s="142"/>
      <x:c r="P131" s="142"/>
    </x:row>
    <x:row r="132" ht="19" customHeight="1">
      <x:c r="A132" s="142"/>
      <x:c r="B132" s="142"/>
      <x:c r="C132" s="142"/>
      <x:c r="D132" s="142"/>
      <x:c r="E132" s="142"/>
      <x:c r="F132" s="142"/>
      <x:c r="G132" s="142"/>
      <x:c r="H132" s="142"/>
      <x:c r="I132" s="220"/>
      <x:c r="J132" s="220"/>
      <x:c r="K132" s="142"/>
      <x:c r="L132" s="208"/>
      <x:c r="M132" s="208"/>
      <x:c r="N132" s="142"/>
      <x:c r="O132" s="142"/>
      <x:c r="P132" s="142"/>
    </x:row>
    <x:row r="133" ht="19" customHeight="1">
      <x:c r="A133" s="142"/>
      <x:c r="B133" s="142"/>
      <x:c r="C133" s="142"/>
      <x:c r="D133" s="142"/>
      <x:c r="E133" s="142"/>
      <x:c r="F133" s="142"/>
      <x:c r="G133" s="142"/>
      <x:c r="H133" s="142"/>
      <x:c r="I133" s="220"/>
      <x:c r="J133" s="220"/>
      <x:c r="K133" s="142"/>
      <x:c r="L133" s="208"/>
      <x:c r="M133" s="208"/>
      <x:c r="N133" s="142"/>
      <x:c r="O133" s="142"/>
      <x:c r="P133" s="142"/>
    </x:row>
    <x:row r="134" ht="19" customHeight="1">
      <x:c r="A134" s="142"/>
      <x:c r="B134" s="142"/>
      <x:c r="C134" s="142"/>
      <x:c r="D134" s="142"/>
      <x:c r="E134" s="142"/>
      <x:c r="F134" s="142"/>
      <x:c r="G134" s="142"/>
      <x:c r="H134" s="142"/>
      <x:c r="I134" s="220"/>
      <x:c r="J134" s="220"/>
      <x:c r="K134" s="142"/>
      <x:c r="L134" s="208"/>
      <x:c r="M134" s="208"/>
      <x:c r="N134" s="142"/>
      <x:c r="O134" s="142"/>
      <x:c r="P134" s="142"/>
    </x:row>
    <x:row r="135" ht="19" customHeight="1">
      <x:c r="A135" s="142"/>
      <x:c r="B135" s="142"/>
      <x:c r="C135" s="142"/>
      <x:c r="D135" s="142"/>
      <x:c r="E135" s="142"/>
      <x:c r="F135" s="142"/>
      <x:c r="G135" s="142"/>
      <x:c r="H135" s="142"/>
      <x:c r="I135" s="220"/>
      <x:c r="J135" s="220"/>
      <x:c r="K135" s="142"/>
      <x:c r="L135" s="208"/>
      <x:c r="M135" s="208"/>
      <x:c r="N135" s="142"/>
      <x:c r="O135" s="142"/>
      <x:c r="P135" s="142"/>
    </x:row>
    <x:row r="136" ht="19" customHeight="1">
      <x:c r="A136" s="142"/>
      <x:c r="B136" s="142"/>
      <x:c r="C136" s="142"/>
      <x:c r="D136" s="142"/>
      <x:c r="E136" s="142"/>
      <x:c r="F136" s="142"/>
      <x:c r="G136" s="142"/>
      <x:c r="H136" s="142"/>
      <x:c r="I136" s="220"/>
      <x:c r="J136" s="220"/>
      <x:c r="K136" s="142"/>
      <x:c r="L136" s="208"/>
      <x:c r="M136" s="208"/>
      <x:c r="N136" s="142"/>
      <x:c r="O136" s="142"/>
      <x:c r="P136" s="142"/>
    </x:row>
    <x:row r="137" ht="19" customHeight="1">
      <x:c r="A137" s="142"/>
      <x:c r="B137" s="142"/>
      <x:c r="C137" s="142"/>
      <x:c r="D137" s="142"/>
      <x:c r="E137" s="142"/>
      <x:c r="F137" s="142"/>
      <x:c r="G137" s="142"/>
      <x:c r="H137" s="142"/>
      <x:c r="I137" s="220"/>
      <x:c r="J137" s="220"/>
      <x:c r="K137" s="142"/>
      <x:c r="L137" s="208"/>
      <x:c r="M137" s="208"/>
      <x:c r="N137" s="142"/>
      <x:c r="O137" s="142"/>
      <x:c r="P137" s="142"/>
    </x:row>
    <x:row r="138" ht="19" customHeight="1">
      <x:c r="A138" s="142"/>
      <x:c r="B138" s="142"/>
      <x:c r="C138" s="142"/>
      <x:c r="D138" s="142"/>
      <x:c r="E138" s="142"/>
      <x:c r="F138" s="142"/>
      <x:c r="G138" s="142"/>
      <x:c r="H138" s="142"/>
      <x:c r="I138" s="220"/>
      <x:c r="J138" s="220"/>
      <x:c r="K138" s="142"/>
      <x:c r="L138" s="208"/>
      <x:c r="M138" s="208"/>
      <x:c r="N138" s="142"/>
      <x:c r="O138" s="142"/>
      <x:c r="P138" s="142"/>
    </x:row>
    <x:row r="139" ht="19" customHeight="1">
      <x:c r="A139" s="142"/>
      <x:c r="B139" s="142"/>
      <x:c r="C139" s="142"/>
      <x:c r="D139" s="142"/>
      <x:c r="E139" s="142"/>
      <x:c r="F139" s="142"/>
      <x:c r="G139" s="142"/>
      <x:c r="H139" s="142"/>
      <x:c r="I139" s="220"/>
      <x:c r="J139" s="220"/>
      <x:c r="K139" s="142"/>
      <x:c r="L139" s="208"/>
      <x:c r="M139" s="208"/>
      <x:c r="N139" s="142"/>
      <x:c r="O139" s="142"/>
      <x:c r="P139" s="142"/>
    </x:row>
    <x:row r="140" ht="19" customHeight="1">
      <x:c r="A140" s="142"/>
      <x:c r="B140" s="142"/>
      <x:c r="C140" s="142"/>
      <x:c r="D140" s="142"/>
      <x:c r="E140" s="142"/>
      <x:c r="F140" s="142"/>
      <x:c r="G140" s="142"/>
      <x:c r="H140" s="142"/>
      <x:c r="I140" s="220"/>
      <x:c r="J140" s="220"/>
      <x:c r="K140" s="142"/>
      <x:c r="L140" s="208"/>
      <x:c r="M140" s="208"/>
      <x:c r="N140" s="142"/>
      <x:c r="O140" s="142"/>
      <x:c r="P140" s="142"/>
    </x:row>
    <x:row r="141" ht="19" customHeight="1">
      <x:c r="A141" s="142"/>
      <x:c r="B141" s="142"/>
      <x:c r="C141" s="142"/>
      <x:c r="D141" s="142"/>
      <x:c r="E141" s="142"/>
      <x:c r="F141" s="142"/>
      <x:c r="G141" s="142"/>
      <x:c r="H141" s="142"/>
      <x:c r="I141" s="220"/>
      <x:c r="J141" s="220"/>
      <x:c r="K141" s="142"/>
      <x:c r="L141" s="208"/>
      <x:c r="M141" s="208"/>
      <x:c r="N141" s="142"/>
      <x:c r="O141" s="142"/>
      <x:c r="P141" s="142"/>
    </x:row>
    <x:row r="142" ht="19" customHeight="1">
      <x:c r="A142" s="142"/>
      <x:c r="B142" s="142"/>
      <x:c r="C142" s="142"/>
      <x:c r="D142" s="142"/>
      <x:c r="E142" s="142"/>
      <x:c r="F142" s="142"/>
      <x:c r="G142" s="142"/>
      <x:c r="H142" s="142"/>
      <x:c r="I142" s="220"/>
      <x:c r="J142" s="220"/>
      <x:c r="K142" s="142"/>
      <x:c r="L142" s="208"/>
      <x:c r="M142" s="208"/>
      <x:c r="N142" s="142"/>
      <x:c r="O142" s="142"/>
      <x:c r="P142" s="142"/>
    </x:row>
    <x:row r="143" ht="19" customHeight="1">
      <x:c r="A143" s="142"/>
      <x:c r="B143" s="142"/>
      <x:c r="C143" s="142"/>
      <x:c r="D143" s="142"/>
      <x:c r="E143" s="142"/>
      <x:c r="F143" s="142"/>
      <x:c r="G143" s="142"/>
      <x:c r="H143" s="142"/>
      <x:c r="I143" s="220"/>
      <x:c r="J143" s="220"/>
      <x:c r="K143" s="142"/>
      <x:c r="L143" s="208"/>
      <x:c r="M143" s="208"/>
      <x:c r="N143" s="142"/>
      <x:c r="O143" s="142"/>
      <x:c r="P143" s="142"/>
    </x:row>
    <x:row r="144" ht="19" customHeight="1">
      <x:c r="A144" s="142"/>
      <x:c r="B144" s="142"/>
      <x:c r="C144" s="142"/>
      <x:c r="D144" s="142"/>
      <x:c r="E144" s="142"/>
      <x:c r="F144" s="142"/>
      <x:c r="G144" s="142"/>
      <x:c r="H144" s="142"/>
      <x:c r="I144" s="220"/>
      <x:c r="J144" s="220"/>
      <x:c r="K144" s="142"/>
      <x:c r="L144" s="208"/>
      <x:c r="M144" s="208"/>
      <x:c r="N144" s="142"/>
      <x:c r="O144" s="142"/>
      <x:c r="P144" s="142"/>
    </x:row>
    <x:row r="145" ht="19" customHeight="1">
      <x:c r="A145" s="142"/>
      <x:c r="B145" s="142"/>
      <x:c r="C145" s="142"/>
      <x:c r="D145" s="142"/>
      <x:c r="E145" s="142"/>
      <x:c r="F145" s="142"/>
      <x:c r="G145" s="142"/>
      <x:c r="H145" s="142"/>
      <x:c r="I145" s="220"/>
      <x:c r="J145" s="220"/>
      <x:c r="K145" s="142"/>
      <x:c r="L145" s="208"/>
      <x:c r="M145" s="208"/>
      <x:c r="N145" s="142"/>
      <x:c r="O145" s="142"/>
      <x:c r="P145" s="142"/>
    </x:row>
    <x:row r="146" ht="19" customHeight="1">
      <x:c r="A146" s="142"/>
      <x:c r="B146" s="142"/>
      <x:c r="C146" s="142"/>
      <x:c r="D146" s="142"/>
      <x:c r="E146" s="142"/>
      <x:c r="F146" s="142"/>
      <x:c r="G146" s="142"/>
      <x:c r="H146" s="142"/>
      <x:c r="I146" s="220"/>
      <x:c r="J146" s="220"/>
      <x:c r="K146" s="142"/>
      <x:c r="L146" s="208"/>
      <x:c r="M146" s="208"/>
      <x:c r="N146" s="142"/>
      <x:c r="O146" s="142"/>
      <x:c r="P146" s="142"/>
    </x:row>
    <x:row r="147" ht="19" customHeight="1">
      <x:c r="A147" s="142"/>
      <x:c r="B147" s="142"/>
      <x:c r="C147" s="142"/>
      <x:c r="D147" s="142"/>
      <x:c r="E147" s="142"/>
      <x:c r="F147" s="142"/>
      <x:c r="G147" s="142"/>
      <x:c r="H147" s="142"/>
      <x:c r="I147" s="220"/>
      <x:c r="J147" s="220"/>
      <x:c r="K147" s="142"/>
      <x:c r="L147" s="208"/>
      <x:c r="M147" s="208"/>
      <x:c r="N147" s="142"/>
      <x:c r="O147" s="142"/>
      <x:c r="P147" s="142"/>
    </x:row>
    <x:row r="148" ht="19" customHeight="1">
      <x:c r="A148" s="142"/>
      <x:c r="B148" s="142"/>
      <x:c r="C148" s="142"/>
      <x:c r="D148" s="142"/>
      <x:c r="E148" s="142"/>
      <x:c r="F148" s="142"/>
      <x:c r="G148" s="142"/>
      <x:c r="H148" s="142"/>
      <x:c r="I148" s="220"/>
      <x:c r="J148" s="220"/>
      <x:c r="K148" s="142"/>
      <x:c r="L148" s="208"/>
      <x:c r="M148" s="208"/>
      <x:c r="N148" s="142"/>
      <x:c r="O148" s="142"/>
      <x:c r="P148" s="142"/>
    </x:row>
    <x:row r="149" ht="19" customHeight="1">
      <x:c r="A149" s="142"/>
      <x:c r="B149" s="142"/>
      <x:c r="C149" s="142"/>
      <x:c r="D149" s="142"/>
      <x:c r="E149" s="142"/>
      <x:c r="F149" s="142"/>
      <x:c r="G149" s="142"/>
      <x:c r="H149" s="142"/>
      <x:c r="I149" s="220"/>
      <x:c r="J149" s="220"/>
      <x:c r="K149" s="142"/>
      <x:c r="L149" s="208"/>
      <x:c r="M149" s="208"/>
      <x:c r="N149" s="142"/>
      <x:c r="O149" s="142"/>
      <x:c r="P149" s="142"/>
    </x:row>
    <x:row r="150" ht="19" customHeight="1">
      <x:c r="A150" s="142"/>
      <x:c r="B150" s="142"/>
      <x:c r="C150" s="142"/>
      <x:c r="D150" s="142"/>
      <x:c r="E150" s="142"/>
      <x:c r="F150" s="142"/>
      <x:c r="G150" s="142"/>
      <x:c r="H150" s="142"/>
      <x:c r="I150" s="220"/>
      <x:c r="J150" s="220"/>
      <x:c r="K150" s="142"/>
      <x:c r="L150" s="208"/>
      <x:c r="M150" s="208"/>
      <x:c r="N150" s="142"/>
      <x:c r="O150" s="142"/>
      <x:c r="P150" s="142"/>
    </x:row>
    <x:row r="151" ht="19" customHeight="1">
      <x:c r="A151" s="142"/>
      <x:c r="B151" s="142"/>
      <x:c r="C151" s="142"/>
      <x:c r="D151" s="142"/>
      <x:c r="E151" s="142"/>
      <x:c r="F151" s="142"/>
      <x:c r="G151" s="142"/>
      <x:c r="H151" s="142"/>
      <x:c r="I151" s="220"/>
      <x:c r="J151" s="220"/>
      <x:c r="K151" s="142"/>
      <x:c r="L151" s="208"/>
      <x:c r="M151" s="208"/>
      <x:c r="N151" s="142"/>
      <x:c r="O151" s="142"/>
      <x:c r="P151" s="142"/>
    </x:row>
    <x:row r="152" ht="19" customHeight="1">
      <x:c r="A152" s="142"/>
      <x:c r="B152" s="142"/>
      <x:c r="C152" s="142"/>
      <x:c r="D152" s="142"/>
      <x:c r="E152" s="142"/>
      <x:c r="F152" s="142"/>
      <x:c r="G152" s="142"/>
      <x:c r="H152" s="142"/>
      <x:c r="I152" s="220"/>
      <x:c r="J152" s="220"/>
      <x:c r="K152" s="142"/>
      <x:c r="L152" s="208"/>
      <x:c r="M152" s="208"/>
      <x:c r="N152" s="142"/>
      <x:c r="O152" s="142"/>
      <x:c r="P152" s="142"/>
    </x:row>
    <x:row r="153" ht="19" customHeight="1">
      <x:c r="A153" s="142"/>
      <x:c r="B153" s="142"/>
      <x:c r="C153" s="142"/>
      <x:c r="D153" s="142"/>
      <x:c r="E153" s="142"/>
      <x:c r="F153" s="142"/>
      <x:c r="G153" s="142"/>
      <x:c r="H153" s="142"/>
      <x:c r="I153" s="220"/>
      <x:c r="J153" s="220"/>
      <x:c r="K153" s="142"/>
      <x:c r="L153" s="208"/>
      <x:c r="M153" s="208"/>
      <x:c r="N153" s="142"/>
      <x:c r="O153" s="142"/>
      <x:c r="P153" s="142"/>
    </x:row>
    <x:row r="154" ht="19" customHeight="1">
      <x:c r="A154" s="142"/>
      <x:c r="B154" s="142"/>
      <x:c r="C154" s="142"/>
      <x:c r="D154" s="142"/>
      <x:c r="E154" s="142"/>
      <x:c r="F154" s="142"/>
      <x:c r="G154" s="142"/>
      <x:c r="H154" s="142"/>
      <x:c r="I154" s="220"/>
      <x:c r="J154" s="220"/>
      <x:c r="K154" s="142"/>
      <x:c r="L154" s="208"/>
      <x:c r="M154" s="208"/>
      <x:c r="N154" s="142"/>
      <x:c r="O154" s="142"/>
      <x:c r="P154" s="142"/>
    </x:row>
    <x:row r="155" ht="19" customHeight="1">
      <x:c r="A155" s="142"/>
      <x:c r="B155" s="142"/>
      <x:c r="C155" s="142"/>
      <x:c r="D155" s="142"/>
      <x:c r="E155" s="142"/>
      <x:c r="F155" s="142"/>
      <x:c r="G155" s="142"/>
      <x:c r="H155" s="142"/>
      <x:c r="I155" s="220"/>
      <x:c r="J155" s="220"/>
      <x:c r="K155" s="142"/>
      <x:c r="L155" s="208"/>
      <x:c r="M155" s="208"/>
      <x:c r="N155" s="142"/>
      <x:c r="O155" s="142"/>
      <x:c r="P155" s="142"/>
    </x:row>
    <x:row r="156" ht="19" customHeight="1">
      <x:c r="A156" s="142"/>
      <x:c r="B156" s="142"/>
      <x:c r="C156" s="142"/>
      <x:c r="D156" s="142"/>
      <x:c r="E156" s="142"/>
      <x:c r="F156" s="142"/>
      <x:c r="G156" s="142"/>
      <x:c r="H156" s="142"/>
      <x:c r="I156" s="220"/>
      <x:c r="J156" s="220"/>
      <x:c r="K156" s="142"/>
      <x:c r="L156" s="208"/>
      <x:c r="M156" s="208"/>
      <x:c r="N156" s="142"/>
      <x:c r="O156" s="142"/>
      <x:c r="P156" s="142"/>
    </x:row>
    <x:row r="157" ht="19" customHeight="1">
      <x:c r="A157" s="142"/>
      <x:c r="B157" s="142"/>
      <x:c r="C157" s="142"/>
      <x:c r="D157" s="142"/>
      <x:c r="E157" s="142"/>
      <x:c r="F157" s="142"/>
      <x:c r="G157" s="142"/>
      <x:c r="H157" s="142"/>
      <x:c r="I157" s="220"/>
      <x:c r="J157" s="220"/>
      <x:c r="K157" s="142"/>
      <x:c r="L157" s="208"/>
      <x:c r="M157" s="208"/>
      <x:c r="N157" s="142"/>
      <x:c r="O157" s="142"/>
      <x:c r="P157" s="142"/>
    </x:row>
    <x:row r="158" ht="19" customHeight="1">
      <x:c r="A158" s="142"/>
      <x:c r="B158" s="142"/>
      <x:c r="C158" s="142"/>
      <x:c r="D158" s="142"/>
      <x:c r="E158" s="142"/>
      <x:c r="F158" s="142"/>
      <x:c r="G158" s="142"/>
      <x:c r="H158" s="142"/>
      <x:c r="I158" s="220"/>
      <x:c r="J158" s="220"/>
      <x:c r="K158" s="142"/>
      <x:c r="L158" s="208"/>
      <x:c r="M158" s="208"/>
      <x:c r="N158" s="142"/>
      <x:c r="O158" s="142"/>
      <x:c r="P158" s="142"/>
    </x:row>
    <x:row r="159" ht="19" customHeight="1">
      <x:c r="A159" s="142"/>
      <x:c r="B159" s="142"/>
      <x:c r="C159" s="142"/>
      <x:c r="D159" s="142"/>
      <x:c r="E159" s="142"/>
      <x:c r="F159" s="142"/>
      <x:c r="G159" s="142"/>
      <x:c r="H159" s="142"/>
      <x:c r="I159" s="220"/>
      <x:c r="J159" s="220"/>
      <x:c r="K159" s="142"/>
      <x:c r="L159" s="208"/>
      <x:c r="M159" s="208"/>
      <x:c r="N159" s="142"/>
      <x:c r="O159" s="142"/>
      <x:c r="P159" s="142"/>
    </x:row>
    <x:row r="160" ht="19" customHeight="1">
      <x:c r="A160" s="142"/>
      <x:c r="B160" s="142"/>
      <x:c r="C160" s="142"/>
      <x:c r="D160" s="142"/>
      <x:c r="E160" s="142"/>
      <x:c r="F160" s="142"/>
      <x:c r="G160" s="142"/>
      <x:c r="H160" s="142"/>
      <x:c r="I160" s="220"/>
      <x:c r="J160" s="220"/>
      <x:c r="K160" s="142"/>
      <x:c r="L160" s="208"/>
      <x:c r="M160" s="208"/>
      <x:c r="N160" s="142"/>
      <x:c r="O160" s="142"/>
      <x:c r="P160" s="142"/>
    </x:row>
    <x:row r="161" ht="19" customHeight="1">
      <x:c r="A161" s="142"/>
      <x:c r="B161" s="142"/>
      <x:c r="C161" s="142"/>
      <x:c r="D161" s="142"/>
      <x:c r="E161" s="142"/>
      <x:c r="F161" s="142"/>
      <x:c r="G161" s="142"/>
      <x:c r="H161" s="142"/>
      <x:c r="I161" s="220"/>
      <x:c r="J161" s="220"/>
      <x:c r="K161" s="142"/>
      <x:c r="L161" s="208"/>
      <x:c r="M161" s="208"/>
      <x:c r="N161" s="142"/>
      <x:c r="O161" s="142"/>
      <x:c r="P161" s="142"/>
    </x:row>
    <x:row r="162" ht="19" customHeight="1">
      <x:c r="A162" s="142"/>
      <x:c r="B162" s="142"/>
      <x:c r="C162" s="142"/>
      <x:c r="D162" s="142"/>
      <x:c r="E162" s="142"/>
      <x:c r="F162" s="142"/>
      <x:c r="G162" s="142"/>
      <x:c r="H162" s="142"/>
      <x:c r="I162" s="220"/>
      <x:c r="J162" s="220"/>
      <x:c r="K162" s="142"/>
      <x:c r="L162" s="208"/>
      <x:c r="M162" s="208"/>
      <x:c r="N162" s="142"/>
      <x:c r="O162" s="142"/>
      <x:c r="P162" s="142"/>
    </x:row>
    <x:row r="163" ht="19" customHeight="1">
      <x:c r="A163" s="142"/>
      <x:c r="B163" s="142"/>
      <x:c r="C163" s="142"/>
      <x:c r="D163" s="142"/>
      <x:c r="E163" s="142"/>
      <x:c r="F163" s="142"/>
      <x:c r="G163" s="142"/>
      <x:c r="H163" s="142"/>
      <x:c r="I163" s="220"/>
      <x:c r="J163" s="220"/>
      <x:c r="K163" s="142"/>
      <x:c r="L163" s="208"/>
      <x:c r="M163" s="208"/>
      <x:c r="N163" s="142"/>
      <x:c r="O163" s="142"/>
      <x:c r="P163" s="142"/>
    </x:row>
    <x:row r="164" ht="19" customHeight="1">
      <x:c r="A164" s="142"/>
      <x:c r="B164" s="142"/>
      <x:c r="C164" s="142"/>
      <x:c r="D164" s="142"/>
      <x:c r="E164" s="142"/>
      <x:c r="F164" s="142"/>
      <x:c r="G164" s="142"/>
      <x:c r="H164" s="142"/>
      <x:c r="I164" s="220"/>
      <x:c r="J164" s="220"/>
      <x:c r="K164" s="142"/>
      <x:c r="L164" s="208"/>
      <x:c r="M164" s="208"/>
      <x:c r="N164" s="142"/>
      <x:c r="O164" s="142"/>
      <x:c r="P164" s="142"/>
    </x:row>
    <x:row r="165" ht="19" customHeight="1">
      <x:c r="A165" s="142"/>
      <x:c r="B165" s="142"/>
      <x:c r="C165" s="142"/>
      <x:c r="D165" s="142"/>
      <x:c r="E165" s="142"/>
      <x:c r="F165" s="142"/>
      <x:c r="G165" s="142"/>
      <x:c r="H165" s="142"/>
      <x:c r="I165" s="220"/>
      <x:c r="J165" s="220"/>
      <x:c r="K165" s="142"/>
      <x:c r="L165" s="208"/>
      <x:c r="M165" s="208"/>
      <x:c r="N165" s="142"/>
      <x:c r="O165" s="142"/>
      <x:c r="P165" s="142"/>
    </x:row>
    <x:row r="166" ht="19" customHeight="1">
      <x:c r="A166" s="142"/>
      <x:c r="B166" s="142"/>
      <x:c r="C166" s="142"/>
      <x:c r="D166" s="142"/>
      <x:c r="E166" s="142"/>
      <x:c r="F166" s="142"/>
      <x:c r="G166" s="142"/>
      <x:c r="H166" s="142"/>
      <x:c r="I166" s="220"/>
      <x:c r="J166" s="220"/>
      <x:c r="K166" s="142"/>
      <x:c r="L166" s="208"/>
      <x:c r="M166" s="208"/>
      <x:c r="N166" s="142"/>
      <x:c r="O166" s="142"/>
      <x:c r="P166" s="142"/>
    </x:row>
    <x:row r="167" ht="19" customHeight="1">
      <x:c r="A167" s="142"/>
      <x:c r="B167" s="142"/>
      <x:c r="C167" s="142"/>
      <x:c r="D167" s="142"/>
      <x:c r="E167" s="142"/>
      <x:c r="F167" s="142"/>
      <x:c r="G167" s="142"/>
      <x:c r="H167" s="142"/>
      <x:c r="I167" s="220"/>
      <x:c r="J167" s="220"/>
      <x:c r="K167" s="142"/>
      <x:c r="L167" s="208"/>
      <x:c r="M167" s="208"/>
      <x:c r="N167" s="142"/>
      <x:c r="O167" s="142"/>
      <x:c r="P167" s="142"/>
    </x:row>
    <x:row r="168" ht="19" customHeight="1">
      <x:c r="A168" s="142"/>
      <x:c r="B168" s="142"/>
      <x:c r="C168" s="142"/>
      <x:c r="D168" s="142"/>
      <x:c r="E168" s="142"/>
      <x:c r="F168" s="142"/>
      <x:c r="G168" s="142"/>
      <x:c r="H168" s="142"/>
      <x:c r="I168" s="220"/>
      <x:c r="J168" s="220"/>
      <x:c r="K168" s="142"/>
      <x:c r="L168" s="208"/>
      <x:c r="M168" s="208"/>
      <x:c r="N168" s="142"/>
      <x:c r="O168" s="142"/>
      <x:c r="P168" s="142"/>
    </x:row>
    <x:row r="169" ht="19" customHeight="1">
      <x:c r="A169" s="142"/>
      <x:c r="B169" s="142"/>
      <x:c r="C169" s="142"/>
      <x:c r="D169" s="142"/>
      <x:c r="E169" s="142"/>
      <x:c r="F169" s="142"/>
      <x:c r="G169" s="142"/>
      <x:c r="H169" s="142"/>
      <x:c r="I169" s="220"/>
      <x:c r="J169" s="220"/>
      <x:c r="K169" s="142"/>
      <x:c r="L169" s="208"/>
      <x:c r="M169" s="208"/>
      <x:c r="N169" s="142"/>
      <x:c r="O169" s="142"/>
      <x:c r="P169" s="142"/>
    </x:row>
    <x:row r="170" ht="19" customHeight="1">
      <x:c r="A170" s="142"/>
      <x:c r="B170" s="142"/>
      <x:c r="C170" s="142"/>
      <x:c r="D170" s="142"/>
      <x:c r="E170" s="142"/>
      <x:c r="F170" s="142"/>
      <x:c r="G170" s="142"/>
      <x:c r="H170" s="142"/>
      <x:c r="I170" s="220"/>
      <x:c r="J170" s="220"/>
      <x:c r="K170" s="142"/>
      <x:c r="L170" s="208"/>
      <x:c r="M170" s="208"/>
      <x:c r="N170" s="142"/>
      <x:c r="O170" s="142"/>
      <x:c r="P170" s="142"/>
    </x:row>
    <x:row r="171" ht="19" customHeight="1">
      <x:c r="A171" s="142"/>
      <x:c r="B171" s="142"/>
      <x:c r="C171" s="142"/>
      <x:c r="D171" s="142"/>
      <x:c r="E171" s="142"/>
      <x:c r="F171" s="142"/>
      <x:c r="G171" s="142"/>
      <x:c r="H171" s="142"/>
      <x:c r="I171" s="220"/>
      <x:c r="J171" s="220"/>
      <x:c r="K171" s="142"/>
      <x:c r="L171" s="208"/>
      <x:c r="M171" s="208"/>
      <x:c r="N171" s="142"/>
      <x:c r="O171" s="142"/>
      <x:c r="P171" s="142"/>
    </x:row>
    <x:row r="172" ht="19" customHeight="1">
      <x:c r="A172" s="142"/>
      <x:c r="B172" s="142"/>
      <x:c r="C172" s="142"/>
      <x:c r="D172" s="142"/>
      <x:c r="E172" s="142"/>
      <x:c r="F172" s="142"/>
      <x:c r="G172" s="142"/>
      <x:c r="H172" s="142"/>
      <x:c r="I172" s="220"/>
      <x:c r="J172" s="220"/>
      <x:c r="K172" s="142"/>
      <x:c r="L172" s="208"/>
      <x:c r="M172" s="208"/>
      <x:c r="N172" s="142"/>
      <x:c r="O172" s="142"/>
      <x:c r="P172" s="142"/>
    </x:row>
    <x:row r="173" ht="19" customHeight="1">
      <x:c r="A173" s="142"/>
      <x:c r="B173" s="142"/>
      <x:c r="C173" s="142"/>
      <x:c r="D173" s="142"/>
      <x:c r="E173" s="142"/>
      <x:c r="F173" s="142"/>
      <x:c r="G173" s="142"/>
      <x:c r="H173" s="142"/>
      <x:c r="I173" s="220"/>
      <x:c r="J173" s="220"/>
      <x:c r="K173" s="142"/>
      <x:c r="L173" s="208"/>
      <x:c r="M173" s="208"/>
      <x:c r="N173" s="142"/>
      <x:c r="O173" s="142"/>
      <x:c r="P173" s="142"/>
    </x:row>
    <x:row r="174" ht="19" customHeight="1">
      <x:c r="A174" s="142"/>
      <x:c r="B174" s="142"/>
      <x:c r="C174" s="142"/>
      <x:c r="D174" s="142"/>
      <x:c r="E174" s="142"/>
      <x:c r="F174" s="142"/>
      <x:c r="G174" s="142"/>
      <x:c r="H174" s="142"/>
      <x:c r="I174" s="220"/>
      <x:c r="J174" s="220"/>
      <x:c r="K174" s="142"/>
      <x:c r="L174" s="208"/>
      <x:c r="M174" s="208"/>
      <x:c r="N174" s="142"/>
      <x:c r="O174" s="142"/>
      <x:c r="P174" s="142"/>
    </x:row>
    <x:row r="175" ht="19" customHeight="1">
      <x:c r="A175" s="142"/>
      <x:c r="B175" s="142"/>
      <x:c r="C175" s="142"/>
      <x:c r="D175" s="142"/>
      <x:c r="E175" s="142"/>
      <x:c r="F175" s="142"/>
      <x:c r="G175" s="142"/>
      <x:c r="H175" s="142"/>
      <x:c r="I175" s="220"/>
      <x:c r="J175" s="220"/>
      <x:c r="K175" s="142"/>
      <x:c r="L175" s="208"/>
      <x:c r="M175" s="208"/>
      <x:c r="N175" s="142"/>
      <x:c r="O175" s="142"/>
      <x:c r="P175" s="142"/>
    </x:row>
    <x:row r="176" ht="19" customHeight="1">
      <x:c r="A176" s="142"/>
      <x:c r="B176" s="142"/>
      <x:c r="C176" s="142"/>
      <x:c r="D176" s="142"/>
      <x:c r="E176" s="142"/>
      <x:c r="F176" s="142"/>
      <x:c r="G176" s="142"/>
      <x:c r="H176" s="142"/>
      <x:c r="I176" s="220"/>
      <x:c r="J176" s="220"/>
      <x:c r="K176" s="142"/>
      <x:c r="L176" s="208"/>
      <x:c r="M176" s="208"/>
      <x:c r="N176" s="142"/>
      <x:c r="O176" s="142"/>
      <x:c r="P176" s="142"/>
    </x:row>
    <x:row r="177" ht="19" customHeight="1">
      <x:c r="A177" s="142"/>
      <x:c r="B177" s="142"/>
      <x:c r="C177" s="142"/>
      <x:c r="D177" s="142"/>
      <x:c r="E177" s="142"/>
      <x:c r="F177" s="142"/>
      <x:c r="G177" s="142"/>
      <x:c r="H177" s="142"/>
      <x:c r="I177" s="220"/>
      <x:c r="J177" s="220"/>
      <x:c r="K177" s="142"/>
      <x:c r="L177" s="208"/>
      <x:c r="M177" s="208"/>
      <x:c r="N177" s="142"/>
      <x:c r="O177" s="142"/>
      <x:c r="P177" s="142"/>
    </x:row>
    <x:row r="178" ht="19" customHeight="1">
      <x:c r="A178" s="142"/>
      <x:c r="B178" s="142"/>
      <x:c r="C178" s="142"/>
      <x:c r="D178" s="142"/>
      <x:c r="E178" s="142"/>
      <x:c r="F178" s="142"/>
      <x:c r="G178" s="142"/>
      <x:c r="H178" s="142"/>
      <x:c r="I178" s="220"/>
      <x:c r="J178" s="220"/>
      <x:c r="K178" s="142"/>
      <x:c r="L178" s="208"/>
      <x:c r="M178" s="208"/>
      <x:c r="N178" s="142"/>
      <x:c r="O178" s="142"/>
      <x:c r="P178" s="142"/>
    </x:row>
    <x:row r="179" ht="19" customHeight="1">
      <x:c r="A179" s="142"/>
      <x:c r="B179" s="142"/>
      <x:c r="C179" s="142"/>
      <x:c r="D179" s="142"/>
      <x:c r="E179" s="142"/>
      <x:c r="F179" s="142"/>
      <x:c r="G179" s="142"/>
      <x:c r="H179" s="142"/>
      <x:c r="I179" s="220"/>
      <x:c r="J179" s="220"/>
      <x:c r="K179" s="142"/>
      <x:c r="L179" s="208"/>
      <x:c r="M179" s="208"/>
      <x:c r="N179" s="142"/>
      <x:c r="O179" s="142"/>
      <x:c r="P179" s="142"/>
    </x:row>
    <x:row r="180" ht="19" customHeight="1">
      <x:c r="A180" s="142"/>
      <x:c r="B180" s="142"/>
      <x:c r="C180" s="142"/>
      <x:c r="D180" s="142"/>
      <x:c r="E180" s="142"/>
      <x:c r="F180" s="142"/>
      <x:c r="G180" s="142"/>
      <x:c r="H180" s="142"/>
      <x:c r="I180" s="220"/>
      <x:c r="J180" s="220"/>
      <x:c r="K180" s="142"/>
      <x:c r="L180" s="208"/>
      <x:c r="M180" s="208"/>
      <x:c r="N180" s="142"/>
      <x:c r="O180" s="142"/>
      <x:c r="P180" s="142"/>
    </x:row>
    <x:row r="181" ht="19" customHeight="1">
      <x:c r="A181" s="142"/>
      <x:c r="B181" s="142"/>
      <x:c r="C181" s="142"/>
      <x:c r="D181" s="142"/>
      <x:c r="E181" s="142"/>
      <x:c r="F181" s="142"/>
      <x:c r="G181" s="142"/>
      <x:c r="H181" s="142"/>
      <x:c r="I181" s="220"/>
      <x:c r="J181" s="220"/>
      <x:c r="K181" s="142"/>
      <x:c r="L181" s="208"/>
      <x:c r="M181" s="208"/>
      <x:c r="N181" s="142"/>
      <x:c r="O181" s="142"/>
      <x:c r="P181" s="142"/>
    </x:row>
    <x:row r="182" ht="19" customHeight="1">
      <x:c r="A182" s="142"/>
      <x:c r="B182" s="142"/>
      <x:c r="C182" s="142"/>
      <x:c r="D182" s="142"/>
      <x:c r="E182" s="142"/>
      <x:c r="F182" s="142"/>
      <x:c r="G182" s="142"/>
      <x:c r="H182" s="142"/>
      <x:c r="I182" s="220"/>
      <x:c r="J182" s="220"/>
      <x:c r="K182" s="142"/>
      <x:c r="L182" s="208"/>
      <x:c r="M182" s="208"/>
      <x:c r="N182" s="142"/>
      <x:c r="O182" s="142"/>
      <x:c r="P182" s="142"/>
    </x:row>
    <x:row r="183" ht="19" customHeight="1">
      <x:c r="A183" s="142"/>
      <x:c r="B183" s="142"/>
      <x:c r="C183" s="142"/>
      <x:c r="D183" s="142"/>
      <x:c r="E183" s="142"/>
      <x:c r="F183" s="142"/>
      <x:c r="G183" s="142"/>
      <x:c r="H183" s="142"/>
      <x:c r="I183" s="220"/>
      <x:c r="J183" s="220"/>
      <x:c r="K183" s="142"/>
      <x:c r="L183" s="208"/>
      <x:c r="M183" s="208"/>
      <x:c r="N183" s="142"/>
      <x:c r="O183" s="142"/>
      <x:c r="P183" s="142"/>
    </x:row>
    <x:row r="184" ht="19" customHeight="1">
      <x:c r="A184" s="142"/>
      <x:c r="B184" s="142"/>
      <x:c r="C184" s="142"/>
      <x:c r="D184" s="142"/>
      <x:c r="E184" s="142"/>
      <x:c r="F184" s="142"/>
      <x:c r="G184" s="142"/>
      <x:c r="H184" s="142"/>
      <x:c r="I184" s="220"/>
      <x:c r="J184" s="220"/>
      <x:c r="K184" s="142"/>
      <x:c r="L184" s="208"/>
      <x:c r="M184" s="208"/>
      <x:c r="N184" s="142"/>
      <x:c r="O184" s="142"/>
      <x:c r="P184" s="142"/>
    </x:row>
    <x:row r="185" ht="19" customHeight="1">
      <x:c r="A185" s="142"/>
      <x:c r="B185" s="142"/>
      <x:c r="C185" s="142"/>
      <x:c r="D185" s="142"/>
      <x:c r="E185" s="142"/>
      <x:c r="F185" s="142"/>
      <x:c r="G185" s="142"/>
      <x:c r="H185" s="142"/>
      <x:c r="I185" s="220"/>
      <x:c r="J185" s="220"/>
      <x:c r="K185" s="142"/>
      <x:c r="L185" s="208"/>
      <x:c r="M185" s="208"/>
      <x:c r="N185" s="142"/>
      <x:c r="O185" s="142"/>
      <x:c r="P185" s="142"/>
    </x:row>
    <x:row r="186" ht="19" customHeight="1">
      <x:c r="A186" s="142"/>
      <x:c r="B186" s="142"/>
      <x:c r="C186" s="142"/>
      <x:c r="D186" s="142"/>
      <x:c r="E186" s="142"/>
      <x:c r="F186" s="142"/>
      <x:c r="G186" s="142"/>
      <x:c r="H186" s="142"/>
      <x:c r="I186" s="220"/>
      <x:c r="J186" s="220"/>
      <x:c r="K186" s="142"/>
      <x:c r="L186" s="208"/>
      <x:c r="M186" s="208"/>
      <x:c r="N186" s="142"/>
      <x:c r="O186" s="142"/>
      <x:c r="P186" s="142"/>
    </x:row>
    <x:row r="187" ht="19" customHeight="1">
      <x:c r="A187" s="142"/>
      <x:c r="B187" s="142"/>
      <x:c r="C187" s="142"/>
      <x:c r="D187" s="142"/>
      <x:c r="E187" s="142"/>
      <x:c r="F187" s="142"/>
      <x:c r="G187" s="142"/>
      <x:c r="H187" s="142"/>
      <x:c r="I187" s="220"/>
      <x:c r="J187" s="220"/>
      <x:c r="K187" s="142"/>
      <x:c r="L187" s="208"/>
      <x:c r="M187" s="208"/>
      <x:c r="N187" s="142"/>
      <x:c r="O187" s="142"/>
      <x:c r="P187" s="142"/>
    </x:row>
    <x:row r="188" ht="19" customHeight="1">
      <x:c r="A188" s="142"/>
      <x:c r="B188" s="142"/>
      <x:c r="C188" s="142"/>
      <x:c r="D188" s="142"/>
      <x:c r="E188" s="142"/>
      <x:c r="F188" s="142"/>
      <x:c r="G188" s="142"/>
      <x:c r="H188" s="142"/>
      <x:c r="I188" s="220"/>
      <x:c r="J188" s="220"/>
      <x:c r="K188" s="142"/>
      <x:c r="L188" s="208"/>
      <x:c r="M188" s="208"/>
      <x:c r="N188" s="142"/>
      <x:c r="O188" s="142"/>
      <x:c r="P188" s="142"/>
    </x:row>
    <x:row r="189" ht="19" customHeight="1">
      <x:c r="A189" s="142"/>
      <x:c r="B189" s="142"/>
      <x:c r="C189" s="142"/>
      <x:c r="D189" s="142"/>
      <x:c r="E189" s="142"/>
      <x:c r="F189" s="142"/>
      <x:c r="G189" s="142"/>
      <x:c r="H189" s="142"/>
      <x:c r="I189" s="220"/>
      <x:c r="J189" s="220"/>
      <x:c r="K189" s="142"/>
      <x:c r="L189" s="208"/>
      <x:c r="M189" s="208"/>
      <x:c r="N189" s="142"/>
      <x:c r="O189" s="142"/>
      <x:c r="P189" s="142"/>
    </x:row>
    <x:row r="190" ht="19" customHeight="1">
      <x:c r="A190" s="142"/>
      <x:c r="B190" s="142"/>
      <x:c r="C190" s="142"/>
      <x:c r="D190" s="142"/>
      <x:c r="E190" s="142"/>
      <x:c r="F190" s="142"/>
      <x:c r="G190" s="142"/>
      <x:c r="H190" s="142"/>
      <x:c r="I190" s="220"/>
      <x:c r="J190" s="220"/>
      <x:c r="K190" s="142"/>
      <x:c r="L190" s="208"/>
      <x:c r="M190" s="208"/>
      <x:c r="N190" s="142"/>
      <x:c r="O190" s="142"/>
      <x:c r="P190" s="142"/>
    </x:row>
    <x:row r="191" ht="19" customHeight="1">
      <x:c r="A191" s="142"/>
      <x:c r="B191" s="142"/>
      <x:c r="C191" s="142"/>
      <x:c r="D191" s="142"/>
      <x:c r="E191" s="142"/>
      <x:c r="F191" s="142"/>
      <x:c r="G191" s="142"/>
      <x:c r="H191" s="142"/>
      <x:c r="I191" s="220"/>
      <x:c r="J191" s="220"/>
      <x:c r="K191" s="142"/>
      <x:c r="L191" s="208"/>
      <x:c r="M191" s="208"/>
      <x:c r="N191" s="142"/>
      <x:c r="O191" s="142"/>
      <x:c r="P191" s="142"/>
    </x:row>
    <x:row r="192" ht="19" customHeight="1">
      <x:c r="A192" s="142"/>
      <x:c r="B192" s="142"/>
      <x:c r="C192" s="142"/>
      <x:c r="D192" s="142"/>
      <x:c r="E192" s="142"/>
      <x:c r="F192" s="142"/>
      <x:c r="G192" s="142"/>
      <x:c r="H192" s="142"/>
      <x:c r="I192" s="220"/>
      <x:c r="J192" s="220"/>
      <x:c r="K192" s="142"/>
      <x:c r="L192" s="208"/>
      <x:c r="M192" s="208"/>
      <x:c r="N192" s="142"/>
      <x:c r="O192" s="142"/>
      <x:c r="P192" s="142"/>
    </x:row>
    <x:row r="193" ht="19" customHeight="1">
      <x:c r="A193" s="142"/>
      <x:c r="B193" s="142"/>
      <x:c r="C193" s="142"/>
      <x:c r="D193" s="142"/>
      <x:c r="E193" s="142"/>
      <x:c r="F193" s="142"/>
      <x:c r="G193" s="142"/>
      <x:c r="H193" s="142"/>
      <x:c r="I193" s="220"/>
      <x:c r="J193" s="220"/>
      <x:c r="K193" s="142"/>
      <x:c r="L193" s="208"/>
      <x:c r="M193" s="208"/>
      <x:c r="N193" s="142"/>
      <x:c r="O193" s="142"/>
      <x:c r="P193" s="142"/>
    </x:row>
    <x:row r="194" ht="19" customHeight="1">
      <x:c r="A194" s="142"/>
      <x:c r="B194" s="142"/>
      <x:c r="C194" s="142"/>
      <x:c r="D194" s="142"/>
      <x:c r="E194" s="142"/>
      <x:c r="F194" s="142"/>
      <x:c r="G194" s="142"/>
      <x:c r="H194" s="142"/>
      <x:c r="I194" s="220"/>
      <x:c r="J194" s="220"/>
      <x:c r="K194" s="142"/>
      <x:c r="L194" s="208"/>
      <x:c r="M194" s="208"/>
      <x:c r="N194" s="142"/>
      <x:c r="O194" s="142"/>
      <x:c r="P194" s="142"/>
    </x:row>
    <x:row r="195" ht="19" customHeight="1">
      <x:c r="A195" s="142"/>
      <x:c r="B195" s="142"/>
      <x:c r="C195" s="142"/>
      <x:c r="D195" s="142"/>
      <x:c r="E195" s="142"/>
      <x:c r="F195" s="142"/>
      <x:c r="G195" s="142"/>
      <x:c r="H195" s="142"/>
      <x:c r="I195" s="220"/>
      <x:c r="J195" s="220"/>
      <x:c r="K195" s="142"/>
      <x:c r="L195" s="208"/>
      <x:c r="M195" s="208"/>
      <x:c r="N195" s="142"/>
      <x:c r="O195" s="142"/>
      <x:c r="P195" s="142"/>
    </x:row>
    <x:row r="196" ht="19" customHeight="1">
      <x:c r="A196" s="142"/>
      <x:c r="B196" s="142"/>
      <x:c r="C196" s="142"/>
      <x:c r="D196" s="142"/>
      <x:c r="E196" s="142"/>
      <x:c r="F196" s="142"/>
      <x:c r="G196" s="142"/>
      <x:c r="H196" s="142"/>
      <x:c r="I196" s="220"/>
      <x:c r="J196" s="220"/>
      <x:c r="K196" s="142"/>
      <x:c r="L196" s="208"/>
      <x:c r="M196" s="208"/>
      <x:c r="N196" s="142"/>
      <x:c r="O196" s="142"/>
      <x:c r="P196" s="142"/>
    </x:row>
    <x:row r="197" ht="19" customHeight="1">
      <x:c r="A197" s="142"/>
      <x:c r="B197" s="142"/>
      <x:c r="C197" s="142"/>
      <x:c r="D197" s="142"/>
      <x:c r="E197" s="142"/>
      <x:c r="F197" s="142"/>
      <x:c r="G197" s="142"/>
      <x:c r="H197" s="142"/>
      <x:c r="I197" s="220"/>
      <x:c r="J197" s="220"/>
      <x:c r="K197" s="142"/>
      <x:c r="L197" s="208"/>
      <x:c r="M197" s="208"/>
      <x:c r="N197" s="142"/>
      <x:c r="O197" s="142"/>
      <x:c r="P197" s="142"/>
    </x:row>
    <x:row r="198" ht="19" customHeight="1">
      <x:c r="A198" s="142"/>
      <x:c r="B198" s="142"/>
      <x:c r="C198" s="142"/>
      <x:c r="D198" s="142"/>
      <x:c r="E198" s="142"/>
      <x:c r="F198" s="142"/>
      <x:c r="G198" s="142"/>
      <x:c r="H198" s="142"/>
      <x:c r="I198" s="220"/>
      <x:c r="J198" s="220"/>
      <x:c r="K198" s="142"/>
      <x:c r="L198" s="208"/>
      <x:c r="M198" s="208"/>
      <x:c r="N198" s="142"/>
      <x:c r="O198" s="142"/>
      <x:c r="P198" s="142"/>
    </x:row>
    <x:row r="199" ht="19" customHeight="1">
      <x:c r="A199" s="142"/>
      <x:c r="B199" s="142"/>
      <x:c r="C199" s="142"/>
      <x:c r="D199" s="142"/>
      <x:c r="E199" s="142"/>
      <x:c r="F199" s="142"/>
      <x:c r="G199" s="142"/>
      <x:c r="H199" s="142"/>
      <x:c r="I199" s="220"/>
      <x:c r="J199" s="220"/>
      <x:c r="K199" s="142"/>
      <x:c r="L199" s="208"/>
      <x:c r="M199" s="208"/>
      <x:c r="N199" s="142"/>
      <x:c r="O199" s="142"/>
      <x:c r="P199" s="142"/>
    </x:row>
    <x:row r="200" ht="19" customHeight="1">
      <x:c r="A200" s="142"/>
      <x:c r="B200" s="142"/>
      <x:c r="C200" s="142"/>
      <x:c r="D200" s="142"/>
      <x:c r="E200" s="142"/>
      <x:c r="F200" s="142"/>
      <x:c r="G200" s="142"/>
      <x:c r="H200" s="142"/>
      <x:c r="I200" s="220"/>
      <x:c r="J200" s="220"/>
      <x:c r="K200" s="142"/>
      <x:c r="L200" s="208"/>
      <x:c r="M200" s="208"/>
      <x:c r="N200" s="142"/>
      <x:c r="O200" s="142"/>
      <x:c r="P200" s="142"/>
    </x:row>
    <x:row r="201" ht="19" customHeight="1">
      <x:c r="A201" s="142"/>
      <x:c r="B201" s="142"/>
      <x:c r="C201" s="142"/>
      <x:c r="D201" s="142"/>
      <x:c r="E201" s="142"/>
      <x:c r="F201" s="142"/>
      <x:c r="G201" s="142"/>
      <x:c r="H201" s="142"/>
      <x:c r="I201" s="220"/>
      <x:c r="J201" s="220"/>
      <x:c r="K201" s="142"/>
      <x:c r="L201" s="208"/>
      <x:c r="M201" s="208"/>
      <x:c r="N201" s="142"/>
      <x:c r="O201" s="142"/>
      <x:c r="P201" s="142"/>
    </x:row>
    <x:row r="202" ht="19" customHeight="1">
      <x:c r="A202" s="142"/>
      <x:c r="B202" s="142"/>
      <x:c r="C202" s="142"/>
      <x:c r="D202" s="142"/>
      <x:c r="E202" s="142"/>
      <x:c r="F202" s="142"/>
      <x:c r="G202" s="142"/>
      <x:c r="H202" s="142"/>
      <x:c r="I202" s="220"/>
      <x:c r="J202" s="220"/>
      <x:c r="K202" s="142"/>
      <x:c r="L202" s="208"/>
      <x:c r="M202" s="208"/>
      <x:c r="N202" s="142"/>
      <x:c r="O202" s="142"/>
      <x:c r="P202" s="142"/>
    </x:row>
    <x:row r="203" ht="19" customHeight="1">
      <x:c r="A203" s="142"/>
      <x:c r="B203" s="142"/>
      <x:c r="C203" s="142"/>
      <x:c r="D203" s="142"/>
      <x:c r="E203" s="142"/>
      <x:c r="F203" s="142"/>
      <x:c r="G203" s="142"/>
      <x:c r="H203" s="142"/>
      <x:c r="I203" s="220"/>
      <x:c r="J203" s="220"/>
      <x:c r="K203" s="142"/>
      <x:c r="L203" s="208"/>
      <x:c r="M203" s="208"/>
      <x:c r="N203" s="142"/>
      <x:c r="O203" s="142"/>
      <x:c r="P203" s="142"/>
    </x:row>
    <x:row r="204" ht="19" customHeight="1">
      <x:c r="A204" s="142"/>
      <x:c r="B204" s="142"/>
      <x:c r="C204" s="142"/>
      <x:c r="D204" s="142"/>
      <x:c r="E204" s="142"/>
      <x:c r="F204" s="142"/>
      <x:c r="G204" s="142"/>
      <x:c r="H204" s="142"/>
      <x:c r="I204" s="220"/>
      <x:c r="J204" s="220"/>
      <x:c r="K204" s="142"/>
      <x:c r="L204" s="208"/>
      <x:c r="M204" s="208"/>
      <x:c r="N204" s="142"/>
      <x:c r="O204" s="142"/>
      <x:c r="P204" s="142"/>
    </x:row>
    <x:row r="205" ht="19" customHeight="1">
      <x:c r="A205" s="142"/>
      <x:c r="B205" s="142"/>
      <x:c r="C205" s="142"/>
      <x:c r="D205" s="142"/>
      <x:c r="E205" s="142"/>
      <x:c r="F205" s="142"/>
      <x:c r="G205" s="142"/>
      <x:c r="H205" s="142"/>
      <x:c r="I205" s="220"/>
      <x:c r="J205" s="220"/>
      <x:c r="K205" s="142"/>
      <x:c r="L205" s="208"/>
      <x:c r="M205" s="208"/>
      <x:c r="N205" s="142"/>
      <x:c r="O205" s="142"/>
      <x:c r="P205" s="142"/>
    </x:row>
    <x:row r="206" ht="19" customHeight="1">
      <x:c r="A206" s="142"/>
      <x:c r="B206" s="142"/>
      <x:c r="C206" s="142"/>
      <x:c r="D206" s="142"/>
      <x:c r="E206" s="142"/>
      <x:c r="F206" s="142"/>
      <x:c r="G206" s="142"/>
      <x:c r="H206" s="142"/>
      <x:c r="I206" s="220"/>
      <x:c r="J206" s="220"/>
      <x:c r="K206" s="142"/>
      <x:c r="L206" s="208"/>
      <x:c r="M206" s="208"/>
      <x:c r="N206" s="142"/>
      <x:c r="O206" s="142"/>
      <x:c r="P206" s="142"/>
    </x:row>
    <x:row r="207" ht="19" customHeight="1">
      <x:c r="A207" s="142"/>
      <x:c r="B207" s="142"/>
      <x:c r="C207" s="142"/>
      <x:c r="D207" s="142"/>
      <x:c r="E207" s="142"/>
      <x:c r="F207" s="142"/>
      <x:c r="G207" s="142"/>
      <x:c r="H207" s="142"/>
      <x:c r="I207" s="220"/>
      <x:c r="J207" s="220"/>
      <x:c r="K207" s="142"/>
      <x:c r="L207" s="208"/>
      <x:c r="M207" s="208"/>
      <x:c r="N207" s="142"/>
      <x:c r="O207" s="142"/>
      <x:c r="P207" s="142"/>
    </x:row>
    <x:row r="208" ht="19" customHeight="1">
      <x:c r="A208" s="142"/>
      <x:c r="B208" s="142"/>
      <x:c r="C208" s="142"/>
      <x:c r="D208" s="142"/>
      <x:c r="E208" s="142"/>
      <x:c r="F208" s="142"/>
      <x:c r="G208" s="142"/>
      <x:c r="H208" s="142"/>
      <x:c r="I208" s="220"/>
      <x:c r="J208" s="220"/>
      <x:c r="K208" s="142"/>
      <x:c r="L208" s="208"/>
      <x:c r="M208" s="208"/>
      <x:c r="N208" s="142"/>
      <x:c r="O208" s="142"/>
      <x:c r="P208" s="142"/>
    </x:row>
    <x:row r="209" ht="19" customHeight="1">
      <x:c r="A209" s="142"/>
      <x:c r="B209" s="142"/>
      <x:c r="C209" s="142"/>
      <x:c r="D209" s="142"/>
      <x:c r="E209" s="142"/>
      <x:c r="F209" s="142"/>
      <x:c r="G209" s="142"/>
      <x:c r="H209" s="142"/>
      <x:c r="I209" s="220"/>
      <x:c r="J209" s="220"/>
      <x:c r="K209" s="142"/>
      <x:c r="L209" s="208"/>
      <x:c r="M209" s="208"/>
      <x:c r="N209" s="142"/>
      <x:c r="O209" s="142"/>
      <x:c r="P209" s="142"/>
    </x:row>
    <x:row r="210" ht="19" customHeight="1">
      <x:c r="A210" s="142"/>
      <x:c r="B210" s="142"/>
      <x:c r="C210" s="142"/>
      <x:c r="D210" s="142"/>
      <x:c r="E210" s="142"/>
      <x:c r="F210" s="142"/>
      <x:c r="G210" s="142"/>
      <x:c r="H210" s="142"/>
      <x:c r="I210" s="220"/>
      <x:c r="J210" s="220"/>
      <x:c r="K210" s="142"/>
      <x:c r="L210" s="208"/>
      <x:c r="M210" s="208"/>
      <x:c r="N210" s="142"/>
      <x:c r="O210" s="142"/>
      <x:c r="P210" s="142"/>
    </x:row>
    <x:row r="211" ht="19" customHeight="1">
      <x:c r="A211" s="142"/>
      <x:c r="B211" s="142"/>
      <x:c r="C211" s="142"/>
      <x:c r="D211" s="142"/>
      <x:c r="E211" s="142"/>
      <x:c r="F211" s="142"/>
      <x:c r="G211" s="142"/>
      <x:c r="H211" s="142"/>
      <x:c r="I211" s="220"/>
      <x:c r="J211" s="220"/>
      <x:c r="K211" s="142"/>
      <x:c r="L211" s="208"/>
      <x:c r="M211" s="208"/>
      <x:c r="N211" s="142"/>
      <x:c r="O211" s="142"/>
      <x:c r="P211" s="142"/>
    </x:row>
    <x:row r="212" ht="19" customHeight="1">
      <x:c r="A212" s="142"/>
      <x:c r="B212" s="142"/>
      <x:c r="C212" s="142"/>
      <x:c r="D212" s="142"/>
      <x:c r="E212" s="142"/>
      <x:c r="F212" s="142"/>
      <x:c r="G212" s="142"/>
      <x:c r="H212" s="142"/>
      <x:c r="I212" s="220"/>
      <x:c r="J212" s="220"/>
      <x:c r="K212" s="142"/>
      <x:c r="L212" s="208"/>
      <x:c r="M212" s="208"/>
      <x:c r="N212" s="142"/>
      <x:c r="O212" s="142"/>
      <x:c r="P212" s="142"/>
    </x:row>
    <x:row r="213" ht="19" customHeight="1">
      <x:c r="A213" s="142"/>
      <x:c r="B213" s="142"/>
      <x:c r="C213" s="142"/>
      <x:c r="D213" s="142"/>
      <x:c r="E213" s="142"/>
      <x:c r="F213" s="142"/>
      <x:c r="G213" s="142"/>
      <x:c r="H213" s="142"/>
      <x:c r="I213" s="220"/>
      <x:c r="J213" s="220"/>
      <x:c r="K213" s="142"/>
      <x:c r="L213" s="208"/>
      <x:c r="M213" s="208"/>
      <x:c r="N213" s="142"/>
      <x:c r="O213" s="142"/>
      <x:c r="P213" s="142"/>
    </x:row>
    <x:row r="214" ht="19" customHeight="1">
      <x:c r="A214" s="142"/>
      <x:c r="B214" s="142"/>
      <x:c r="C214" s="142"/>
      <x:c r="D214" s="142"/>
      <x:c r="E214" s="142"/>
      <x:c r="F214" s="142"/>
      <x:c r="G214" s="142"/>
      <x:c r="H214" s="142"/>
      <x:c r="I214" s="220"/>
      <x:c r="J214" s="220"/>
      <x:c r="K214" s="142"/>
      <x:c r="L214" s="208"/>
      <x:c r="M214" s="208"/>
      <x:c r="N214" s="142"/>
      <x:c r="O214" s="142"/>
      <x:c r="P214" s="142"/>
    </x:row>
    <x:row r="215" ht="19" customHeight="1">
      <x:c r="A215" s="142"/>
      <x:c r="B215" s="142"/>
      <x:c r="C215" s="142"/>
      <x:c r="D215" s="142"/>
      <x:c r="E215" s="142"/>
      <x:c r="F215" s="142"/>
      <x:c r="G215" s="142"/>
      <x:c r="H215" s="142"/>
      <x:c r="I215" s="220"/>
      <x:c r="J215" s="220"/>
      <x:c r="K215" s="142"/>
      <x:c r="L215" s="208"/>
      <x:c r="M215" s="208"/>
      <x:c r="N215" s="142"/>
      <x:c r="O215" s="142"/>
      <x:c r="P215" s="142"/>
    </x:row>
    <x:row r="216" ht="19" customHeight="1">
      <x:c r="A216" s="142"/>
      <x:c r="B216" s="142"/>
      <x:c r="C216" s="142"/>
      <x:c r="D216" s="142"/>
      <x:c r="E216" s="142"/>
      <x:c r="F216" s="142"/>
      <x:c r="G216" s="142"/>
      <x:c r="H216" s="142"/>
      <x:c r="I216" s="220"/>
      <x:c r="J216" s="220"/>
      <x:c r="K216" s="142"/>
      <x:c r="L216" s="208"/>
      <x:c r="M216" s="208"/>
      <x:c r="N216" s="142"/>
      <x:c r="O216" s="142"/>
      <x:c r="P216" s="142"/>
    </x:row>
    <x:row r="217" ht="19" customHeight="1">
      <x:c r="A217" s="142"/>
      <x:c r="B217" s="142"/>
      <x:c r="C217" s="142"/>
      <x:c r="D217" s="142"/>
      <x:c r="E217" s="142"/>
      <x:c r="F217" s="142"/>
      <x:c r="G217" s="142"/>
      <x:c r="H217" s="142"/>
      <x:c r="I217" s="220"/>
      <x:c r="J217" s="220"/>
      <x:c r="K217" s="142"/>
      <x:c r="L217" s="208"/>
      <x:c r="M217" s="208"/>
      <x:c r="N217" s="142"/>
      <x:c r="O217" s="142"/>
      <x:c r="P217" s="142"/>
    </x:row>
    <x:row r="218" ht="19" customHeight="1">
      <x:c r="A218" s="142"/>
      <x:c r="B218" s="142"/>
      <x:c r="C218" s="142"/>
      <x:c r="D218" s="142"/>
      <x:c r="E218" s="142"/>
      <x:c r="F218" s="142"/>
      <x:c r="G218" s="142"/>
      <x:c r="H218" s="142"/>
      <x:c r="I218" s="220"/>
      <x:c r="J218" s="220"/>
      <x:c r="K218" s="142"/>
      <x:c r="L218" s="208"/>
      <x:c r="M218" s="208"/>
      <x:c r="N218" s="142"/>
      <x:c r="O218" s="142"/>
      <x:c r="P218" s="142"/>
    </x:row>
    <x:row r="219" ht="19" customHeight="1">
      <x:c r="A219" s="142"/>
      <x:c r="B219" s="142"/>
      <x:c r="C219" s="142"/>
      <x:c r="D219" s="142"/>
      <x:c r="E219" s="142"/>
      <x:c r="F219" s="142"/>
      <x:c r="G219" s="142"/>
      <x:c r="H219" s="142"/>
      <x:c r="I219" s="220"/>
      <x:c r="J219" s="220"/>
      <x:c r="K219" s="142"/>
      <x:c r="L219" s="208"/>
      <x:c r="M219" s="208"/>
      <x:c r="N219" s="142"/>
      <x:c r="O219" s="142"/>
      <x:c r="P219" s="142"/>
    </x:row>
    <x:row r="220" ht="19" customHeight="1">
      <x:c r="A220" s="142"/>
      <x:c r="B220" s="142"/>
      <x:c r="C220" s="142"/>
      <x:c r="D220" s="142"/>
      <x:c r="E220" s="142"/>
      <x:c r="F220" s="142"/>
      <x:c r="G220" s="142"/>
      <x:c r="H220" s="142"/>
      <x:c r="I220" s="220"/>
      <x:c r="J220" s="220"/>
      <x:c r="K220" s="142"/>
      <x:c r="L220" s="208"/>
      <x:c r="M220" s="208"/>
      <x:c r="N220" s="142"/>
      <x:c r="O220" s="142"/>
      <x:c r="P220" s="142"/>
    </x:row>
    <x:row r="221" ht="19" customHeight="1">
      <x:c r="A221" s="142"/>
      <x:c r="B221" s="142"/>
      <x:c r="C221" s="142"/>
      <x:c r="D221" s="142"/>
      <x:c r="E221" s="142"/>
      <x:c r="F221" s="142"/>
      <x:c r="G221" s="142"/>
      <x:c r="H221" s="142"/>
      <x:c r="I221" s="220"/>
      <x:c r="J221" s="220"/>
      <x:c r="K221" s="142"/>
      <x:c r="L221" s="208"/>
      <x:c r="M221" s="208"/>
      <x:c r="N221" s="142"/>
      <x:c r="O221" s="142"/>
      <x:c r="P221" s="142"/>
    </x:row>
    <x:row r="222" ht="19" customHeight="1">
      <x:c r="A222" s="142"/>
      <x:c r="B222" s="142"/>
      <x:c r="C222" s="142"/>
      <x:c r="D222" s="142"/>
      <x:c r="E222" s="142"/>
      <x:c r="F222" s="142"/>
      <x:c r="G222" s="142"/>
      <x:c r="H222" s="142"/>
      <x:c r="I222" s="220"/>
      <x:c r="J222" s="220"/>
      <x:c r="K222" s="142"/>
      <x:c r="L222" s="208"/>
      <x:c r="M222" s="208"/>
      <x:c r="N222" s="142"/>
      <x:c r="O222" s="142"/>
      <x:c r="P222" s="142"/>
    </x:row>
    <x:row r="223" ht="19" customHeight="1">
      <x:c r="A223" s="142"/>
      <x:c r="B223" s="142"/>
      <x:c r="C223" s="142"/>
      <x:c r="D223" s="142"/>
      <x:c r="E223" s="142"/>
      <x:c r="F223" s="142"/>
      <x:c r="G223" s="142"/>
      <x:c r="H223" s="142"/>
      <x:c r="I223" s="220"/>
      <x:c r="J223" s="220"/>
      <x:c r="K223" s="142"/>
      <x:c r="L223" s="208"/>
      <x:c r="M223" s="208"/>
      <x:c r="N223" s="142"/>
      <x:c r="O223" s="142"/>
      <x:c r="P223" s="142"/>
    </x:row>
    <x:row r="224" ht="19" customHeight="1">
      <x:c r="A224" s="142"/>
      <x:c r="B224" s="142"/>
      <x:c r="C224" s="142"/>
      <x:c r="D224" s="142"/>
      <x:c r="E224" s="142"/>
      <x:c r="F224" s="142"/>
      <x:c r="G224" s="142"/>
      <x:c r="H224" s="142"/>
      <x:c r="I224" s="220"/>
      <x:c r="J224" s="220"/>
      <x:c r="K224" s="142"/>
      <x:c r="L224" s="208"/>
      <x:c r="M224" s="208"/>
      <x:c r="N224" s="142"/>
      <x:c r="O224" s="142"/>
      <x:c r="P224" s="142"/>
    </x:row>
    <x:row r="225" ht="19" customHeight="1">
      <x:c r="A225" s="142"/>
      <x:c r="B225" s="142"/>
      <x:c r="C225" s="142"/>
      <x:c r="D225" s="142"/>
      <x:c r="E225" s="142"/>
      <x:c r="F225" s="142"/>
      <x:c r="G225" s="142"/>
      <x:c r="H225" s="142"/>
      <x:c r="I225" s="220"/>
      <x:c r="J225" s="220"/>
      <x:c r="K225" s="142"/>
      <x:c r="L225" s="208"/>
      <x:c r="M225" s="208"/>
      <x:c r="N225" s="142"/>
      <x:c r="O225" s="142"/>
      <x:c r="P225" s="142"/>
    </x:row>
    <x:row r="226" ht="19" customHeight="1">
      <x:c r="A226" s="142"/>
      <x:c r="B226" s="142"/>
      <x:c r="C226" s="142"/>
      <x:c r="D226" s="142"/>
      <x:c r="E226" s="142"/>
      <x:c r="F226" s="142"/>
      <x:c r="G226" s="142"/>
      <x:c r="H226" s="142"/>
      <x:c r="I226" s="220"/>
      <x:c r="J226" s="220"/>
      <x:c r="K226" s="142"/>
      <x:c r="L226" s="208"/>
      <x:c r="M226" s="208"/>
      <x:c r="N226" s="142"/>
      <x:c r="O226" s="142"/>
      <x:c r="P226" s="142"/>
    </x:row>
    <x:row r="227" ht="19" customHeight="1">
      <x:c r="A227" s="142"/>
      <x:c r="B227" s="142"/>
      <x:c r="C227" s="142"/>
      <x:c r="D227" s="142"/>
      <x:c r="E227" s="142"/>
      <x:c r="F227" s="142"/>
      <x:c r="G227" s="142"/>
      <x:c r="H227" s="142"/>
      <x:c r="I227" s="220"/>
      <x:c r="J227" s="220"/>
      <x:c r="K227" s="142"/>
      <x:c r="L227" s="208"/>
      <x:c r="M227" s="208"/>
      <x:c r="N227" s="142"/>
      <x:c r="O227" s="142"/>
      <x:c r="P227" s="142"/>
    </x:row>
    <x:row r="228" ht="19" customHeight="1">
      <x:c r="A228" s="142"/>
      <x:c r="B228" s="142"/>
      <x:c r="C228" s="142"/>
      <x:c r="D228" s="142"/>
      <x:c r="E228" s="142"/>
      <x:c r="F228" s="142"/>
      <x:c r="G228" s="142"/>
      <x:c r="H228" s="142"/>
      <x:c r="I228" s="220"/>
      <x:c r="J228" s="220"/>
      <x:c r="K228" s="142"/>
      <x:c r="L228" s="208"/>
      <x:c r="M228" s="208"/>
      <x:c r="N228" s="142"/>
      <x:c r="O228" s="142"/>
      <x:c r="P228" s="142"/>
    </x:row>
    <x:row r="229" ht="19" customHeight="1">
      <x:c r="A229" s="142"/>
      <x:c r="B229" s="142"/>
      <x:c r="C229" s="142"/>
      <x:c r="D229" s="142"/>
      <x:c r="E229" s="142"/>
      <x:c r="F229" s="142"/>
      <x:c r="G229" s="142"/>
      <x:c r="H229" s="142"/>
      <x:c r="I229" s="220"/>
      <x:c r="J229" s="220"/>
      <x:c r="K229" s="142"/>
      <x:c r="L229" s="208"/>
      <x:c r="M229" s="208"/>
      <x:c r="N229" s="142"/>
      <x:c r="O229" s="142"/>
      <x:c r="P229" s="142"/>
    </x:row>
    <x:row r="230" ht="19" customHeight="1">
      <x:c r="A230" s="142"/>
      <x:c r="B230" s="142"/>
      <x:c r="C230" s="142"/>
      <x:c r="D230" s="142"/>
      <x:c r="E230" s="142"/>
      <x:c r="F230" s="142"/>
      <x:c r="G230" s="142"/>
      <x:c r="H230" s="142"/>
      <x:c r="I230" s="220"/>
      <x:c r="J230" s="220"/>
      <x:c r="K230" s="142"/>
      <x:c r="L230" s="208"/>
      <x:c r="M230" s="208"/>
      <x:c r="N230" s="142"/>
      <x:c r="O230" s="142"/>
      <x:c r="P230" s="142"/>
    </x:row>
    <x:row r="231" ht="19" customHeight="1">
      <x:c r="A231" s="142"/>
      <x:c r="B231" s="142"/>
      <x:c r="C231" s="142"/>
      <x:c r="D231" s="142"/>
      <x:c r="E231" s="142"/>
      <x:c r="F231" s="142"/>
      <x:c r="G231" s="142"/>
      <x:c r="H231" s="142"/>
      <x:c r="I231" s="220"/>
      <x:c r="J231" s="220"/>
      <x:c r="K231" s="142"/>
      <x:c r="L231" s="208"/>
      <x:c r="M231" s="208"/>
      <x:c r="N231" s="142"/>
      <x:c r="O231" s="142"/>
      <x:c r="P231" s="142"/>
    </x:row>
    <x:row r="232" ht="19" customHeight="1">
      <x:c r="A232" s="142"/>
      <x:c r="B232" s="142"/>
      <x:c r="C232" s="142"/>
      <x:c r="D232" s="142"/>
      <x:c r="E232" s="142"/>
      <x:c r="F232" s="142"/>
      <x:c r="G232" s="142"/>
      <x:c r="H232" s="142"/>
      <x:c r="I232" s="220"/>
      <x:c r="J232" s="220"/>
      <x:c r="K232" s="142"/>
      <x:c r="L232" s="208"/>
      <x:c r="M232" s="208"/>
      <x:c r="N232" s="142"/>
      <x:c r="O232" s="142"/>
      <x:c r="P232" s="142"/>
    </x:row>
    <x:row r="233" ht="19" customHeight="1">
      <x:c r="A233" s="142"/>
      <x:c r="B233" s="142"/>
      <x:c r="C233" s="142"/>
      <x:c r="D233" s="142"/>
      <x:c r="E233" s="142"/>
      <x:c r="F233" s="142"/>
      <x:c r="G233" s="142"/>
      <x:c r="H233" s="142"/>
      <x:c r="I233" s="220"/>
      <x:c r="J233" s="220"/>
      <x:c r="K233" s="142"/>
      <x:c r="L233" s="208"/>
      <x:c r="M233" s="208"/>
      <x:c r="N233" s="142"/>
      <x:c r="O233" s="142"/>
      <x:c r="P233" s="142"/>
    </x:row>
    <x:row r="234" ht="19" customHeight="1">
      <x:c r="A234" s="142"/>
      <x:c r="B234" s="142"/>
      <x:c r="C234" s="142"/>
      <x:c r="D234" s="142"/>
      <x:c r="E234" s="142"/>
      <x:c r="F234" s="142"/>
      <x:c r="G234" s="142"/>
      <x:c r="H234" s="142"/>
      <x:c r="I234" s="220"/>
      <x:c r="J234" s="220"/>
      <x:c r="K234" s="142"/>
      <x:c r="L234" s="208"/>
      <x:c r="M234" s="208"/>
      <x:c r="N234" s="142"/>
      <x:c r="O234" s="142"/>
      <x:c r="P234" s="142"/>
    </x:row>
    <x:row r="235" ht="19" customHeight="1">
      <x:c r="A235" s="142"/>
      <x:c r="B235" s="142"/>
      <x:c r="C235" s="142"/>
      <x:c r="D235" s="142"/>
      <x:c r="E235" s="142"/>
      <x:c r="F235" s="142"/>
      <x:c r="G235" s="142"/>
      <x:c r="H235" s="142"/>
      <x:c r="I235" s="220"/>
      <x:c r="J235" s="220"/>
      <x:c r="K235" s="142"/>
      <x:c r="L235" s="208"/>
      <x:c r="M235" s="208"/>
      <x:c r="N235" s="142"/>
      <x:c r="O235" s="142"/>
      <x:c r="P235" s="142"/>
    </x:row>
    <x:row r="236" ht="19" customHeight="1">
      <x:c r="A236" s="142"/>
      <x:c r="B236" s="142"/>
      <x:c r="C236" s="142"/>
      <x:c r="D236" s="142"/>
      <x:c r="E236" s="142"/>
      <x:c r="F236" s="142"/>
      <x:c r="G236" s="142"/>
      <x:c r="H236" s="142"/>
      <x:c r="I236" s="220"/>
      <x:c r="J236" s="220"/>
      <x:c r="K236" s="142"/>
      <x:c r="L236" s="208"/>
      <x:c r="M236" s="208"/>
      <x:c r="N236" s="142"/>
      <x:c r="O236" s="142"/>
      <x:c r="P236" s="142"/>
    </x:row>
    <x:row r="237" ht="19" customHeight="1">
      <x:c r="A237" s="142"/>
      <x:c r="B237" s="142"/>
      <x:c r="C237" s="142"/>
      <x:c r="D237" s="142"/>
      <x:c r="E237" s="142"/>
      <x:c r="F237" s="142"/>
      <x:c r="G237" s="142"/>
      <x:c r="H237" s="142"/>
      <x:c r="I237" s="220"/>
      <x:c r="J237" s="220"/>
      <x:c r="K237" s="142"/>
      <x:c r="L237" s="208"/>
      <x:c r="M237" s="208"/>
      <x:c r="N237" s="142"/>
      <x:c r="O237" s="142"/>
      <x:c r="P237" s="142"/>
    </x:row>
    <x:row r="238" ht="19" customHeight="1">
      <x:c r="A238" s="142"/>
      <x:c r="B238" s="142"/>
      <x:c r="C238" s="142"/>
      <x:c r="D238" s="142"/>
      <x:c r="E238" s="142"/>
      <x:c r="F238" s="142"/>
      <x:c r="G238" s="142"/>
      <x:c r="H238" s="142"/>
      <x:c r="I238" s="220"/>
      <x:c r="J238" s="220"/>
      <x:c r="K238" s="142"/>
      <x:c r="L238" s="208"/>
      <x:c r="M238" s="208"/>
      <x:c r="N238" s="142"/>
      <x:c r="O238" s="142"/>
      <x:c r="P238" s="142"/>
    </x:row>
    <x:row r="239" ht="19" customHeight="1">
      <x:c r="A239" s="142"/>
      <x:c r="B239" s="142"/>
      <x:c r="C239" s="142"/>
      <x:c r="D239" s="142"/>
      <x:c r="E239" s="142"/>
      <x:c r="F239" s="142"/>
      <x:c r="G239" s="142"/>
      <x:c r="H239" s="142"/>
      <x:c r="I239" s="220"/>
      <x:c r="J239" s="220"/>
      <x:c r="K239" s="142"/>
      <x:c r="L239" s="208"/>
      <x:c r="M239" s="208"/>
      <x:c r="N239" s="142"/>
      <x:c r="O239" s="142"/>
      <x:c r="P239" s="142"/>
    </x:row>
    <x:row r="240" ht="19" customHeight="1">
      <x:c r="A240" s="142"/>
      <x:c r="B240" s="142"/>
      <x:c r="C240" s="142"/>
      <x:c r="D240" s="142"/>
      <x:c r="E240" s="142"/>
      <x:c r="F240" s="142"/>
      <x:c r="G240" s="142"/>
      <x:c r="H240" s="142"/>
      <x:c r="I240" s="220"/>
      <x:c r="J240" s="220"/>
      <x:c r="K240" s="142"/>
      <x:c r="L240" s="208"/>
      <x:c r="M240" s="208"/>
      <x:c r="N240" s="142"/>
      <x:c r="O240" s="142"/>
      <x:c r="P240" s="142"/>
    </x:row>
    <x:row r="241" ht="19" customHeight="1">
      <x:c r="A241" s="142"/>
      <x:c r="B241" s="142"/>
      <x:c r="C241" s="142"/>
      <x:c r="D241" s="142"/>
      <x:c r="E241" s="142"/>
      <x:c r="F241" s="142"/>
      <x:c r="G241" s="142"/>
      <x:c r="H241" s="142"/>
      <x:c r="I241" s="220"/>
      <x:c r="J241" s="220"/>
      <x:c r="K241" s="142"/>
      <x:c r="L241" s="208"/>
      <x:c r="M241" s="208"/>
      <x:c r="N241" s="142"/>
      <x:c r="O241" s="142"/>
      <x:c r="P241" s="142"/>
    </x:row>
    <x:row r="242" ht="19" customHeight="1">
      <x:c r="A242" s="142"/>
      <x:c r="B242" s="142"/>
      <x:c r="C242" s="142"/>
      <x:c r="D242" s="142"/>
      <x:c r="E242" s="142"/>
      <x:c r="F242" s="142"/>
      <x:c r="G242" s="142"/>
      <x:c r="H242" s="142"/>
      <x:c r="I242" s="220"/>
      <x:c r="J242" s="220"/>
      <x:c r="K242" s="142"/>
      <x:c r="L242" s="208"/>
      <x:c r="M242" s="208"/>
      <x:c r="N242" s="142"/>
      <x:c r="O242" s="142"/>
      <x:c r="P242" s="142"/>
    </x:row>
    <x:row r="243" ht="19" customHeight="1">
      <x:c r="A243" s="142"/>
      <x:c r="B243" s="142"/>
      <x:c r="C243" s="142"/>
      <x:c r="D243" s="142"/>
      <x:c r="E243" s="142"/>
      <x:c r="F243" s="142"/>
      <x:c r="G243" s="142"/>
      <x:c r="H243" s="142"/>
      <x:c r="I243" s="220"/>
      <x:c r="J243" s="220"/>
      <x:c r="K243" s="142"/>
      <x:c r="L243" s="208"/>
      <x:c r="M243" s="208"/>
      <x:c r="N243" s="142"/>
      <x:c r="O243" s="142"/>
      <x:c r="P243" s="142"/>
    </x:row>
    <x:row r="244" ht="19" customHeight="1">
      <x:c r="A244" s="142"/>
      <x:c r="B244" s="142"/>
      <x:c r="C244" s="142"/>
      <x:c r="D244" s="142"/>
      <x:c r="E244" s="142"/>
      <x:c r="F244" s="142"/>
      <x:c r="G244" s="142"/>
      <x:c r="H244" s="142"/>
      <x:c r="I244" s="220"/>
      <x:c r="J244" s="220"/>
      <x:c r="K244" s="142"/>
      <x:c r="L244" s="208"/>
      <x:c r="M244" s="208"/>
      <x:c r="N244" s="142"/>
      <x:c r="O244" s="142"/>
      <x:c r="P244" s="142"/>
    </x:row>
    <x:row r="245" ht="19" customHeight="1">
      <x:c r="A245" s="142"/>
      <x:c r="B245" s="142"/>
      <x:c r="C245" s="142"/>
      <x:c r="D245" s="142"/>
      <x:c r="E245" s="142"/>
      <x:c r="F245" s="142"/>
      <x:c r="G245" s="142"/>
      <x:c r="H245" s="142"/>
      <x:c r="I245" s="220"/>
      <x:c r="J245" s="220"/>
      <x:c r="K245" s="142"/>
      <x:c r="L245" s="208"/>
      <x:c r="M245" s="208"/>
      <x:c r="N245" s="142"/>
      <x:c r="O245" s="142"/>
      <x:c r="P245" s="142"/>
    </x:row>
    <x:row r="246" ht="19" customHeight="1">
      <x:c r="A246" s="142"/>
      <x:c r="B246" s="142"/>
      <x:c r="C246" s="142"/>
      <x:c r="D246" s="142"/>
      <x:c r="E246" s="142"/>
      <x:c r="F246" s="142"/>
      <x:c r="G246" s="142"/>
      <x:c r="H246" s="142"/>
      <x:c r="I246" s="220"/>
      <x:c r="J246" s="220"/>
      <x:c r="K246" s="142"/>
      <x:c r="L246" s="208"/>
      <x:c r="M246" s="208"/>
      <x:c r="N246" s="142"/>
      <x:c r="O246" s="142"/>
      <x:c r="P246" s="142"/>
    </x:row>
    <x:row r="247" ht="19" customHeight="1">
      <x:c r="A247" s="142"/>
      <x:c r="B247" s="142"/>
      <x:c r="C247" s="142"/>
      <x:c r="D247" s="142"/>
      <x:c r="E247" s="142"/>
      <x:c r="F247" s="142"/>
      <x:c r="G247" s="142"/>
      <x:c r="H247" s="142"/>
      <x:c r="I247" s="220"/>
      <x:c r="J247" s="220"/>
      <x:c r="K247" s="142"/>
      <x:c r="L247" s="208"/>
      <x:c r="M247" s="208"/>
      <x:c r="N247" s="142"/>
      <x:c r="O247" s="142"/>
      <x:c r="P247" s="142"/>
    </x:row>
    <x:row r="248" ht="19" customHeight="1">
      <x:c r="A248" s="142"/>
      <x:c r="B248" s="142"/>
      <x:c r="C248" s="142"/>
      <x:c r="D248" s="142"/>
      <x:c r="E248" s="142"/>
      <x:c r="F248" s="142"/>
      <x:c r="G248" s="142"/>
      <x:c r="H248" s="142"/>
      <x:c r="I248" s="220"/>
      <x:c r="J248" s="220"/>
      <x:c r="K248" s="142"/>
      <x:c r="L248" s="208"/>
      <x:c r="M248" s="208"/>
      <x:c r="N248" s="142"/>
      <x:c r="O248" s="142"/>
      <x:c r="P248" s="142"/>
    </x:row>
    <x:row r="249" ht="19" customHeight="1">
      <x:c r="A249" s="142"/>
      <x:c r="B249" s="142"/>
      <x:c r="C249" s="142"/>
      <x:c r="D249" s="142"/>
      <x:c r="E249" s="142"/>
      <x:c r="F249" s="142"/>
      <x:c r="G249" s="142"/>
      <x:c r="H249" s="142"/>
      <x:c r="I249" s="220"/>
      <x:c r="J249" s="220"/>
      <x:c r="K249" s="142"/>
      <x:c r="L249" s="208"/>
      <x:c r="M249" s="208"/>
      <x:c r="N249" s="142"/>
      <x:c r="O249" s="142"/>
      <x:c r="P249" s="142"/>
    </x:row>
    <x:row r="250" ht="19" customHeight="1">
      <x:c r="A250" s="142"/>
      <x:c r="B250" s="142"/>
      <x:c r="C250" s="142"/>
      <x:c r="D250" s="142"/>
      <x:c r="E250" s="142"/>
      <x:c r="F250" s="142"/>
      <x:c r="G250" s="142"/>
      <x:c r="H250" s="142"/>
      <x:c r="I250" s="220"/>
      <x:c r="J250" s="220"/>
      <x:c r="K250" s="142"/>
      <x:c r="L250" s="208"/>
      <x:c r="M250" s="208"/>
      <x:c r="N250" s="142"/>
      <x:c r="O250" s="142"/>
      <x:c r="P250" s="142"/>
    </x:row>
    <x:row r="251" ht="19" customHeight="1">
      <x:c r="A251" s="142"/>
      <x:c r="B251" s="142"/>
      <x:c r="C251" s="142"/>
      <x:c r="D251" s="142"/>
      <x:c r="E251" s="142"/>
      <x:c r="F251" s="142"/>
      <x:c r="G251" s="142"/>
      <x:c r="H251" s="142"/>
      <x:c r="I251" s="220"/>
      <x:c r="J251" s="220"/>
      <x:c r="K251" s="142"/>
      <x:c r="L251" s="208"/>
      <x:c r="M251" s="208"/>
      <x:c r="N251" s="142"/>
      <x:c r="O251" s="142"/>
      <x:c r="P251" s="142"/>
    </x:row>
    <x:row r="252" ht="19" customHeight="1">
      <x:c r="A252" s="142"/>
      <x:c r="B252" s="142"/>
      <x:c r="C252" s="142"/>
      <x:c r="D252" s="142"/>
      <x:c r="E252" s="142"/>
      <x:c r="F252" s="142"/>
      <x:c r="G252" s="142"/>
      <x:c r="H252" s="142"/>
      <x:c r="I252" s="220"/>
      <x:c r="J252" s="220"/>
      <x:c r="K252" s="142"/>
      <x:c r="L252" s="208"/>
      <x:c r="M252" s="208"/>
      <x:c r="N252" s="142"/>
      <x:c r="O252" s="142"/>
      <x:c r="P252" s="142"/>
    </x:row>
    <x:row r="253" ht="19" customHeight="1">
      <x:c r="A253" s="142"/>
      <x:c r="B253" s="142"/>
      <x:c r="C253" s="142"/>
      <x:c r="D253" s="142"/>
      <x:c r="E253" s="142"/>
      <x:c r="F253" s="142"/>
      <x:c r="G253" s="142"/>
      <x:c r="H253" s="142"/>
      <x:c r="I253" s="220"/>
      <x:c r="J253" s="220"/>
      <x:c r="K253" s="142"/>
      <x:c r="L253" s="208"/>
      <x:c r="M253" s="208"/>
      <x:c r="N253" s="142"/>
      <x:c r="O253" s="142"/>
      <x:c r="P253" s="142"/>
    </x:row>
    <x:row r="254" ht="19" customHeight="1">
      <x:c r="A254" s="143"/>
      <x:c r="B254" s="143"/>
      <x:c r="C254" s="143"/>
      <x:c r="D254" s="143"/>
      <x:c r="E254" s="143"/>
      <x:c r="F254" s="143"/>
      <x:c r="G254" s="143"/>
      <x:c r="H254" s="143"/>
      <x:c r="I254" s="221"/>
      <x:c r="J254" s="221"/>
      <x:c r="K254" s="143"/>
      <x:c r="L254" s="209"/>
      <x:c r="M254" s="209"/>
      <x:c r="N254" s="143"/>
      <x:c r="O254" s="143"/>
      <x:c r="P254" s="143"/>
    </x:row>
  </x:sheetData>
  <x:mergeCells>
    <x:mergeCell ref="A1:P1"/>
    <x:mergeCell ref="A2:P2"/>
  </x:mergeCells>
  <x:dataValidations count="2">
    <x:dataValidation type="list" sqref="E5:E254">
      <x:formula1>"Intérprete,Produtor Fonográfico,Músico Executante,Arranjador,Coralista,Regente,Outro"</x:formula1>
    </x:dataValidation>
    <x:dataValidation type="list" sqref="O5:O254">
      <x:formula1>"Pendente,Em validação,Liberado,Duplicidade,Bloqueado,Pendente de documentação"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59a7c3faca4c1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8" hidden="0" customWidth="1"/>
    <x:col min="4" max="4" width="18" hidden="0" customWidth="1"/>
    <x:col min="5" max="5" width="30" hidden="0" customWidth="1"/>
    <x:col min="6" max="6" width="28" hidden="0" customWidth="1"/>
    <x:col min="7" max="7" width="28" hidden="0" customWidth="1"/>
    <x:col min="8" max="8" width="38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32" hidden="0" customWidth="1"/>
    <x:col min="15" max="15" width="34" hidden="0" customWidth="1"/>
  </x:cols>
  <x:sheetData>
    <x:row r="1" ht="28" customHeight="1">
      <x:c r="A1" s="5" t="str">
        <x:v>CONTRATOS &amp; DIREITOS — CESSÕES, LICENÇAS E AUTORIZAÇÕES</x:v>
      </x:c>
    </x:row>
    <x:row r="2" ht="32" customHeight="1">
      <x:c r="A2" s="14" t="str">
        <x:v>Mantenha referência documentada de todos os direitos que sustentam a exploração da obra, do fonograma ou do catálogo.</x:v>
      </x:c>
    </x:row>
    <x:row r="4" ht="34" customHeight="1">
      <x:c r="A4" s="56" t="str">
        <x:v>ID Contrato</x:v>
      </x:c>
      <x:c r="B4" s="56" t="str">
        <x:v>Tipo de Contrato</x:v>
      </x:c>
      <x:c r="C4" s="56" t="str">
        <x:v>Objeto</x:v>
      </x:c>
      <x:c r="D4" s="56" t="str">
        <x:v>ID Obra/Fonograma</x:v>
      </x:c>
      <x:c r="E4" s="56" t="str">
        <x:v>Título / ISRC</x:v>
      </x:c>
      <x:c r="F4" s="56" t="str">
        <x:v>Parte 1</x:v>
      </x:c>
      <x:c r="G4" s="56" t="str">
        <x:v>Parte 2</x:v>
      </x:c>
      <x:c r="H4" s="56" t="str">
        <x:v>Escopo de Direitos</x:v>
      </x:c>
      <x:c r="I4" s="56" t="str">
        <x:v>Território</x:v>
      </x:c>
      <x:c r="J4" s="56" t="str">
        <x:v>Data Assinatura</x:v>
      </x:c>
      <x:c r="K4" s="56" t="str">
        <x:v>Início</x:v>
      </x:c>
      <x:c r="L4" s="56" t="str">
        <x:v>Término</x:v>
      </x:c>
      <x:c r="M4" s="56" t="str">
        <x:v>Status Calculado</x:v>
      </x:c>
      <x:c r="N4" s="56" t="str">
        <x:v>Link do Arquivo</x:v>
      </x:c>
      <x:c r="O4" s="56" t="str">
        <x:v>Observações</x:v>
      </x:c>
    </x:row>
    <x:row r="5" ht="19" customHeight="1">
      <x:c r="A5" s="141"/>
      <x:c r="B5" s="141"/>
      <x:c r="C5" s="141"/>
      <x:c r="D5" s="141"/>
      <x:c r="E5" s="141"/>
      <x:c r="F5" s="141"/>
      <x:c r="G5" s="141"/>
      <x:c r="H5" s="141"/>
      <x:c r="I5" s="141"/>
      <x:c r="J5" s="207"/>
      <x:c r="K5" s="207"/>
      <x:c r="L5" s="207"/>
      <x:c r="M5" s="201" t="str">
        <x:f>IF(A5="","",IF(AND(K5&lt;&gt;"",L5&lt;&gt;""),IF(AND(TODAY()&gt;=K5,TODAY()&lt;=L5),"Ativo",IF(TODAY()&gt;L5,"Encerrado","Pendente")),IF(K5&lt;&gt;"","Sem prazo","Pendente")))</x:f>
      </x:c>
      <x:c r="N5" s="141"/>
      <x:c r="O5" s="141"/>
    </x:row>
    <x:row r="6" ht="19" customHeight="1">
      <x:c r="A6" s="142"/>
      <x:c r="B6" s="142"/>
      <x:c r="C6" s="142"/>
      <x:c r="D6" s="142"/>
      <x:c r="E6" s="142"/>
      <x:c r="F6" s="142"/>
      <x:c r="G6" s="142"/>
      <x:c r="H6" s="142"/>
      <x:c r="I6" s="142"/>
      <x:c r="J6" s="208"/>
      <x:c r="K6" s="208"/>
      <x:c r="L6" s="208"/>
      <x:c r="M6" s="202" t="str">
        <x:f>IF(A6="","",IF(AND(K6&lt;&gt;"",L6&lt;&gt;""),IF(AND(TODAY()&gt;=K6,TODAY()&lt;=L6),"Ativo",IF(TODAY()&gt;L6,"Encerrado","Pendente")),IF(K6&lt;&gt;"","Sem prazo","Pendente")))</x:f>
      </x:c>
      <x:c r="N6" s="142"/>
      <x:c r="O6" s="142"/>
    </x:row>
    <x:row r="7" ht="19" customHeight="1">
      <x:c r="A7" s="142"/>
      <x:c r="B7" s="142"/>
      <x:c r="C7" s="142"/>
      <x:c r="D7" s="142"/>
      <x:c r="E7" s="142"/>
      <x:c r="F7" s="142"/>
      <x:c r="G7" s="142"/>
      <x:c r="H7" s="142"/>
      <x:c r="I7" s="142"/>
      <x:c r="J7" s="208"/>
      <x:c r="K7" s="208"/>
      <x:c r="L7" s="208"/>
      <x:c r="M7" s="202" t="str">
        <x:f>IF(A7="","",IF(AND(K7&lt;&gt;"",L7&lt;&gt;""),IF(AND(TODAY()&gt;=K7,TODAY()&lt;=L7),"Ativo",IF(TODAY()&gt;L7,"Encerrado","Pendente")),IF(K7&lt;&gt;"","Sem prazo","Pendente")))</x:f>
      </x:c>
      <x:c r="N7" s="142"/>
      <x:c r="O7" s="142"/>
    </x:row>
    <x:row r="8" ht="19" customHeight="1">
      <x:c r="A8" s="142"/>
      <x:c r="B8" s="142"/>
      <x:c r="C8" s="142"/>
      <x:c r="D8" s="142"/>
      <x:c r="E8" s="142"/>
      <x:c r="F8" s="142"/>
      <x:c r="G8" s="142"/>
      <x:c r="H8" s="142"/>
      <x:c r="I8" s="142"/>
      <x:c r="J8" s="208"/>
      <x:c r="K8" s="208"/>
      <x:c r="L8" s="208"/>
      <x:c r="M8" s="202" t="str">
        <x:f>IF(A8="","",IF(AND(K8&lt;&gt;"",L8&lt;&gt;""),IF(AND(TODAY()&gt;=K8,TODAY()&lt;=L8),"Ativo",IF(TODAY()&gt;L8,"Encerrado","Pendente")),IF(K8&lt;&gt;"","Sem prazo","Pendente")))</x:f>
      </x:c>
      <x:c r="N8" s="142"/>
      <x:c r="O8" s="142"/>
    </x:row>
    <x:row r="9" ht="19" customHeight="1">
      <x:c r="A9" s="142"/>
      <x:c r="B9" s="142"/>
      <x:c r="C9" s="142"/>
      <x:c r="D9" s="142"/>
      <x:c r="E9" s="142"/>
      <x:c r="F9" s="142"/>
      <x:c r="G9" s="142"/>
      <x:c r="H9" s="142"/>
      <x:c r="I9" s="142"/>
      <x:c r="J9" s="208"/>
      <x:c r="K9" s="208"/>
      <x:c r="L9" s="208"/>
      <x:c r="M9" s="202" t="str">
        <x:f>IF(A9="","",IF(AND(K9&lt;&gt;"",L9&lt;&gt;""),IF(AND(TODAY()&gt;=K9,TODAY()&lt;=L9),"Ativo",IF(TODAY()&gt;L9,"Encerrado","Pendente")),IF(K9&lt;&gt;"","Sem prazo","Pendente")))</x:f>
      </x:c>
      <x:c r="N9" s="142"/>
      <x:c r="O9" s="142"/>
    </x:row>
    <x:row r="10" ht="19" customHeight="1">
      <x:c r="A10" s="142"/>
      <x:c r="B10" s="142"/>
      <x:c r="C10" s="142"/>
      <x:c r="D10" s="142"/>
      <x:c r="E10" s="142"/>
      <x:c r="F10" s="142"/>
      <x:c r="G10" s="142"/>
      <x:c r="H10" s="142"/>
      <x:c r="I10" s="142"/>
      <x:c r="J10" s="208"/>
      <x:c r="K10" s="208"/>
      <x:c r="L10" s="208"/>
      <x:c r="M10" s="202" t="str">
        <x:f>IF(A10="","",IF(AND(K10&lt;&gt;"",L10&lt;&gt;""),IF(AND(TODAY()&gt;=K10,TODAY()&lt;=L10),"Ativo",IF(TODAY()&gt;L10,"Encerrado","Pendente")),IF(K10&lt;&gt;"","Sem prazo","Pendente")))</x:f>
      </x:c>
      <x:c r="N10" s="142"/>
      <x:c r="O10" s="142"/>
    </x:row>
    <x:row r="11" ht="19" customHeight="1">
      <x:c r="A11" s="142"/>
      <x:c r="B11" s="142"/>
      <x:c r="C11" s="142"/>
      <x:c r="D11" s="142"/>
      <x:c r="E11" s="142"/>
      <x:c r="F11" s="142"/>
      <x:c r="G11" s="142"/>
      <x:c r="H11" s="142"/>
      <x:c r="I11" s="142"/>
      <x:c r="J11" s="208"/>
      <x:c r="K11" s="208"/>
      <x:c r="L11" s="208"/>
      <x:c r="M11" s="202" t="str">
        <x:f>IF(A11="","",IF(AND(K11&lt;&gt;"",L11&lt;&gt;""),IF(AND(TODAY()&gt;=K11,TODAY()&lt;=L11),"Ativo",IF(TODAY()&gt;L11,"Encerrado","Pendente")),IF(K11&lt;&gt;"","Sem prazo","Pendente")))</x:f>
      </x:c>
      <x:c r="N11" s="142"/>
      <x:c r="O11" s="142"/>
    </x:row>
    <x:row r="12" ht="19" customHeight="1">
      <x:c r="A12" s="142"/>
      <x:c r="B12" s="142"/>
      <x:c r="C12" s="142"/>
      <x:c r="D12" s="142"/>
      <x:c r="E12" s="142"/>
      <x:c r="F12" s="142"/>
      <x:c r="G12" s="142"/>
      <x:c r="H12" s="142"/>
      <x:c r="I12" s="142"/>
      <x:c r="J12" s="208"/>
      <x:c r="K12" s="208"/>
      <x:c r="L12" s="208"/>
      <x:c r="M12" s="202" t="str">
        <x:f>IF(A12="","",IF(AND(K12&lt;&gt;"",L12&lt;&gt;""),IF(AND(TODAY()&gt;=K12,TODAY()&lt;=L12),"Ativo",IF(TODAY()&gt;L12,"Encerrado","Pendente")),IF(K12&lt;&gt;"","Sem prazo","Pendente")))</x:f>
      </x:c>
      <x:c r="N12" s="142"/>
      <x:c r="O12" s="142"/>
    </x:row>
    <x:row r="13" ht="19" customHeight="1">
      <x:c r="A13" s="142"/>
      <x:c r="B13" s="142"/>
      <x:c r="C13" s="142"/>
      <x:c r="D13" s="142"/>
      <x:c r="E13" s="142"/>
      <x:c r="F13" s="142"/>
      <x:c r="G13" s="142"/>
      <x:c r="H13" s="142"/>
      <x:c r="I13" s="142"/>
      <x:c r="J13" s="208"/>
      <x:c r="K13" s="208"/>
      <x:c r="L13" s="208"/>
      <x:c r="M13" s="202" t="str">
        <x:f>IF(A13="","",IF(AND(K13&lt;&gt;"",L13&lt;&gt;""),IF(AND(TODAY()&gt;=K13,TODAY()&lt;=L13),"Ativo",IF(TODAY()&gt;L13,"Encerrado","Pendente")),IF(K13&lt;&gt;"","Sem prazo","Pendente")))</x:f>
      </x:c>
      <x:c r="N13" s="142"/>
      <x:c r="O13" s="142"/>
    </x:row>
    <x:row r="14" ht="19" customHeight="1">
      <x:c r="A14" s="142"/>
      <x:c r="B14" s="142"/>
      <x:c r="C14" s="142"/>
      <x:c r="D14" s="142"/>
      <x:c r="E14" s="142"/>
      <x:c r="F14" s="142"/>
      <x:c r="G14" s="142"/>
      <x:c r="H14" s="142"/>
      <x:c r="I14" s="142"/>
      <x:c r="J14" s="208"/>
      <x:c r="K14" s="208"/>
      <x:c r="L14" s="208"/>
      <x:c r="M14" s="202" t="str">
        <x:f>IF(A14="","",IF(AND(K14&lt;&gt;"",L14&lt;&gt;""),IF(AND(TODAY()&gt;=K14,TODAY()&lt;=L14),"Ativo",IF(TODAY()&gt;L14,"Encerrado","Pendente")),IF(K14&lt;&gt;"","Sem prazo","Pendente")))</x:f>
      </x:c>
      <x:c r="N14" s="142"/>
      <x:c r="O14" s="142"/>
    </x:row>
    <x:row r="15" ht="19" customHeight="1">
      <x:c r="A15" s="142"/>
      <x:c r="B15" s="142"/>
      <x:c r="C15" s="142"/>
      <x:c r="D15" s="142"/>
      <x:c r="E15" s="142"/>
      <x:c r="F15" s="142"/>
      <x:c r="G15" s="142"/>
      <x:c r="H15" s="142"/>
      <x:c r="I15" s="142"/>
      <x:c r="J15" s="208"/>
      <x:c r="K15" s="208"/>
      <x:c r="L15" s="208"/>
      <x:c r="M15" s="202" t="str">
        <x:f>IF(A15="","",IF(AND(K15&lt;&gt;"",L15&lt;&gt;""),IF(AND(TODAY()&gt;=K15,TODAY()&lt;=L15),"Ativo",IF(TODAY()&gt;L15,"Encerrado","Pendente")),IF(K15&lt;&gt;"","Sem prazo","Pendente")))</x:f>
      </x:c>
      <x:c r="N15" s="142"/>
      <x:c r="O15" s="142"/>
    </x:row>
    <x:row r="16" ht="19" customHeight="1">
      <x:c r="A16" s="142"/>
      <x:c r="B16" s="142"/>
      <x:c r="C16" s="142"/>
      <x:c r="D16" s="142"/>
      <x:c r="E16" s="142"/>
      <x:c r="F16" s="142"/>
      <x:c r="G16" s="142"/>
      <x:c r="H16" s="142"/>
      <x:c r="I16" s="142"/>
      <x:c r="J16" s="208"/>
      <x:c r="K16" s="208"/>
      <x:c r="L16" s="208"/>
      <x:c r="M16" s="202" t="str">
        <x:f>IF(A16="","",IF(AND(K16&lt;&gt;"",L16&lt;&gt;""),IF(AND(TODAY()&gt;=K16,TODAY()&lt;=L16),"Ativo",IF(TODAY()&gt;L16,"Encerrado","Pendente")),IF(K16&lt;&gt;"","Sem prazo","Pendente")))</x:f>
      </x:c>
      <x:c r="N16" s="142"/>
      <x:c r="O16" s="142"/>
    </x:row>
    <x:row r="17" ht="19" customHeight="1">
      <x:c r="A17" s="142"/>
      <x:c r="B17" s="142"/>
      <x:c r="C17" s="142"/>
      <x:c r="D17" s="142"/>
      <x:c r="E17" s="142"/>
      <x:c r="F17" s="142"/>
      <x:c r="G17" s="142"/>
      <x:c r="H17" s="142"/>
      <x:c r="I17" s="142"/>
      <x:c r="J17" s="208"/>
      <x:c r="K17" s="208"/>
      <x:c r="L17" s="208"/>
      <x:c r="M17" s="202" t="str">
        <x:f>IF(A17="","",IF(AND(K17&lt;&gt;"",L17&lt;&gt;""),IF(AND(TODAY()&gt;=K17,TODAY()&lt;=L17),"Ativo",IF(TODAY()&gt;L17,"Encerrado","Pendente")),IF(K17&lt;&gt;"","Sem prazo","Pendente")))</x:f>
      </x:c>
      <x:c r="N17" s="142"/>
      <x:c r="O17" s="142"/>
    </x:row>
    <x:row r="18" ht="19" customHeight="1">
      <x:c r="A18" s="142"/>
      <x:c r="B18" s="142"/>
      <x:c r="C18" s="142"/>
      <x:c r="D18" s="142"/>
      <x:c r="E18" s="142"/>
      <x:c r="F18" s="142"/>
      <x:c r="G18" s="142"/>
      <x:c r="H18" s="142"/>
      <x:c r="I18" s="142"/>
      <x:c r="J18" s="208"/>
      <x:c r="K18" s="208"/>
      <x:c r="L18" s="208"/>
      <x:c r="M18" s="202" t="str">
        <x:f>IF(A18="","",IF(AND(K18&lt;&gt;"",L18&lt;&gt;""),IF(AND(TODAY()&gt;=K18,TODAY()&lt;=L18),"Ativo",IF(TODAY()&gt;L18,"Encerrado","Pendente")),IF(K18&lt;&gt;"","Sem prazo","Pendente")))</x:f>
      </x:c>
      <x:c r="N18" s="142"/>
      <x:c r="O18" s="142"/>
    </x:row>
    <x:row r="19" ht="19" customHeight="1">
      <x:c r="A19" s="142"/>
      <x:c r="B19" s="142"/>
      <x:c r="C19" s="142"/>
      <x:c r="D19" s="142"/>
      <x:c r="E19" s="142"/>
      <x:c r="F19" s="142"/>
      <x:c r="G19" s="142"/>
      <x:c r="H19" s="142"/>
      <x:c r="I19" s="142"/>
      <x:c r="J19" s="208"/>
      <x:c r="K19" s="208"/>
      <x:c r="L19" s="208"/>
      <x:c r="M19" s="202" t="str">
        <x:f>IF(A19="","",IF(AND(K19&lt;&gt;"",L19&lt;&gt;""),IF(AND(TODAY()&gt;=K19,TODAY()&lt;=L19),"Ativo",IF(TODAY()&gt;L19,"Encerrado","Pendente")),IF(K19&lt;&gt;"","Sem prazo","Pendente")))</x:f>
      </x:c>
      <x:c r="N19" s="142"/>
      <x:c r="O19" s="142"/>
    </x:row>
    <x:row r="20" ht="19" customHeight="1">
      <x:c r="A20" s="142"/>
      <x:c r="B20" s="142"/>
      <x:c r="C20" s="142"/>
      <x:c r="D20" s="142"/>
      <x:c r="E20" s="142"/>
      <x:c r="F20" s="142"/>
      <x:c r="G20" s="142"/>
      <x:c r="H20" s="142"/>
      <x:c r="I20" s="142"/>
      <x:c r="J20" s="208"/>
      <x:c r="K20" s="208"/>
      <x:c r="L20" s="208"/>
      <x:c r="M20" s="202" t="str">
        <x:f>IF(A20="","",IF(AND(K20&lt;&gt;"",L20&lt;&gt;""),IF(AND(TODAY()&gt;=K20,TODAY()&lt;=L20),"Ativo",IF(TODAY()&gt;L20,"Encerrado","Pendente")),IF(K20&lt;&gt;"","Sem prazo","Pendente")))</x:f>
      </x:c>
      <x:c r="N20" s="142"/>
      <x:c r="O20" s="142"/>
    </x:row>
    <x:row r="21" ht="19" customHeight="1">
      <x:c r="A21" s="142"/>
      <x:c r="B21" s="142"/>
      <x:c r="C21" s="142"/>
      <x:c r="D21" s="142"/>
      <x:c r="E21" s="142"/>
      <x:c r="F21" s="142"/>
      <x:c r="G21" s="142"/>
      <x:c r="H21" s="142"/>
      <x:c r="I21" s="142"/>
      <x:c r="J21" s="208"/>
      <x:c r="K21" s="208"/>
      <x:c r="L21" s="208"/>
      <x:c r="M21" s="202" t="str">
        <x:f>IF(A21="","",IF(AND(K21&lt;&gt;"",L21&lt;&gt;""),IF(AND(TODAY()&gt;=K21,TODAY()&lt;=L21),"Ativo",IF(TODAY()&gt;L21,"Encerrado","Pendente")),IF(K21&lt;&gt;"","Sem prazo","Pendente")))</x:f>
      </x:c>
      <x:c r="N21" s="142"/>
      <x:c r="O21" s="142"/>
    </x:row>
    <x:row r="22" ht="19" customHeight="1">
      <x:c r="A22" s="142"/>
      <x:c r="B22" s="142"/>
      <x:c r="C22" s="142"/>
      <x:c r="D22" s="142"/>
      <x:c r="E22" s="142"/>
      <x:c r="F22" s="142"/>
      <x:c r="G22" s="142"/>
      <x:c r="H22" s="142"/>
      <x:c r="I22" s="142"/>
      <x:c r="J22" s="208"/>
      <x:c r="K22" s="208"/>
      <x:c r="L22" s="208"/>
      <x:c r="M22" s="202" t="str">
        <x:f>IF(A22="","",IF(AND(K22&lt;&gt;"",L22&lt;&gt;""),IF(AND(TODAY()&gt;=K22,TODAY()&lt;=L22),"Ativo",IF(TODAY()&gt;L22,"Encerrado","Pendente")),IF(K22&lt;&gt;"","Sem prazo","Pendente")))</x:f>
      </x:c>
      <x:c r="N22" s="142"/>
      <x:c r="O22" s="142"/>
    </x:row>
    <x:row r="23" ht="19" customHeight="1">
      <x:c r="A23" s="142"/>
      <x:c r="B23" s="142"/>
      <x:c r="C23" s="142"/>
      <x:c r="D23" s="142"/>
      <x:c r="E23" s="142"/>
      <x:c r="F23" s="142"/>
      <x:c r="G23" s="142"/>
      <x:c r="H23" s="142"/>
      <x:c r="I23" s="142"/>
      <x:c r="J23" s="208"/>
      <x:c r="K23" s="208"/>
      <x:c r="L23" s="208"/>
      <x:c r="M23" s="202" t="str">
        <x:f>IF(A23="","",IF(AND(K23&lt;&gt;"",L23&lt;&gt;""),IF(AND(TODAY()&gt;=K23,TODAY()&lt;=L23),"Ativo",IF(TODAY()&gt;L23,"Encerrado","Pendente")),IF(K23&lt;&gt;"","Sem prazo","Pendente")))</x:f>
      </x:c>
      <x:c r="N23" s="142"/>
      <x:c r="O23" s="142"/>
    </x:row>
    <x:row r="24" ht="19" customHeight="1">
      <x:c r="A24" s="142"/>
      <x:c r="B24" s="142"/>
      <x:c r="C24" s="142"/>
      <x:c r="D24" s="142"/>
      <x:c r="E24" s="142"/>
      <x:c r="F24" s="142"/>
      <x:c r="G24" s="142"/>
      <x:c r="H24" s="142"/>
      <x:c r="I24" s="142"/>
      <x:c r="J24" s="208"/>
      <x:c r="K24" s="208"/>
      <x:c r="L24" s="208"/>
      <x:c r="M24" s="202" t="str">
        <x:f>IF(A24="","",IF(AND(K24&lt;&gt;"",L24&lt;&gt;""),IF(AND(TODAY()&gt;=K24,TODAY()&lt;=L24),"Ativo",IF(TODAY()&gt;L24,"Encerrado","Pendente")),IF(K24&lt;&gt;"","Sem prazo","Pendente")))</x:f>
      </x:c>
      <x:c r="N24" s="142"/>
      <x:c r="O24" s="142"/>
    </x:row>
    <x:row r="25" ht="19" customHeight="1">
      <x:c r="A25" s="142"/>
      <x:c r="B25" s="142"/>
      <x:c r="C25" s="142"/>
      <x:c r="D25" s="142"/>
      <x:c r="E25" s="142"/>
      <x:c r="F25" s="142"/>
      <x:c r="G25" s="142"/>
      <x:c r="H25" s="142"/>
      <x:c r="I25" s="142"/>
      <x:c r="J25" s="208"/>
      <x:c r="K25" s="208"/>
      <x:c r="L25" s="208"/>
      <x:c r="M25" s="202" t="str">
        <x:f>IF(A25="","",IF(AND(K25&lt;&gt;"",L25&lt;&gt;""),IF(AND(TODAY()&gt;=K25,TODAY()&lt;=L25),"Ativo",IF(TODAY()&gt;L25,"Encerrado","Pendente")),IF(K25&lt;&gt;"","Sem prazo","Pendente")))</x:f>
      </x:c>
      <x:c r="N25" s="142"/>
      <x:c r="O25" s="142"/>
    </x:row>
    <x:row r="26" ht="19" customHeight="1">
      <x:c r="A26" s="142"/>
      <x:c r="B26" s="142"/>
      <x:c r="C26" s="142"/>
      <x:c r="D26" s="142"/>
      <x:c r="E26" s="142"/>
      <x:c r="F26" s="142"/>
      <x:c r="G26" s="142"/>
      <x:c r="H26" s="142"/>
      <x:c r="I26" s="142"/>
      <x:c r="J26" s="208"/>
      <x:c r="K26" s="208"/>
      <x:c r="L26" s="208"/>
      <x:c r="M26" s="202" t="str">
        <x:f>IF(A26="","",IF(AND(K26&lt;&gt;"",L26&lt;&gt;""),IF(AND(TODAY()&gt;=K26,TODAY()&lt;=L26),"Ativo",IF(TODAY()&gt;L26,"Encerrado","Pendente")),IF(K26&lt;&gt;"","Sem prazo","Pendente")))</x:f>
      </x:c>
      <x:c r="N26" s="142"/>
      <x:c r="O26" s="142"/>
    </x:row>
    <x:row r="27" ht="19" customHeight="1">
      <x:c r="A27" s="142"/>
      <x:c r="B27" s="142"/>
      <x:c r="C27" s="142"/>
      <x:c r="D27" s="142"/>
      <x:c r="E27" s="142"/>
      <x:c r="F27" s="142"/>
      <x:c r="G27" s="142"/>
      <x:c r="H27" s="142"/>
      <x:c r="I27" s="142"/>
      <x:c r="J27" s="208"/>
      <x:c r="K27" s="208"/>
      <x:c r="L27" s="208"/>
      <x:c r="M27" s="202" t="str">
        <x:f>IF(A27="","",IF(AND(K27&lt;&gt;"",L27&lt;&gt;""),IF(AND(TODAY()&gt;=K27,TODAY()&lt;=L27),"Ativo",IF(TODAY()&gt;L27,"Encerrado","Pendente")),IF(K27&lt;&gt;"","Sem prazo","Pendente")))</x:f>
      </x:c>
      <x:c r="N27" s="142"/>
      <x:c r="O27" s="142"/>
    </x:row>
    <x:row r="28" ht="19" customHeight="1">
      <x:c r="A28" s="142"/>
      <x:c r="B28" s="142"/>
      <x:c r="C28" s="142"/>
      <x:c r="D28" s="142"/>
      <x:c r="E28" s="142"/>
      <x:c r="F28" s="142"/>
      <x:c r="G28" s="142"/>
      <x:c r="H28" s="142"/>
      <x:c r="I28" s="142"/>
      <x:c r="J28" s="208"/>
      <x:c r="K28" s="208"/>
      <x:c r="L28" s="208"/>
      <x:c r="M28" s="202" t="str">
        <x:f>IF(A28="","",IF(AND(K28&lt;&gt;"",L28&lt;&gt;""),IF(AND(TODAY()&gt;=K28,TODAY()&lt;=L28),"Ativo",IF(TODAY()&gt;L28,"Encerrado","Pendente")),IF(K28&lt;&gt;"","Sem prazo","Pendente")))</x:f>
      </x:c>
      <x:c r="N28" s="142"/>
      <x:c r="O28" s="142"/>
    </x:row>
    <x:row r="29" ht="19" customHeight="1">
      <x:c r="A29" s="142"/>
      <x:c r="B29" s="142"/>
      <x:c r="C29" s="142"/>
      <x:c r="D29" s="142"/>
      <x:c r="E29" s="142"/>
      <x:c r="F29" s="142"/>
      <x:c r="G29" s="142"/>
      <x:c r="H29" s="142"/>
      <x:c r="I29" s="142"/>
      <x:c r="J29" s="208"/>
      <x:c r="K29" s="208"/>
      <x:c r="L29" s="208"/>
      <x:c r="M29" s="202" t="str">
        <x:f>IF(A29="","",IF(AND(K29&lt;&gt;"",L29&lt;&gt;""),IF(AND(TODAY()&gt;=K29,TODAY()&lt;=L29),"Ativo",IF(TODAY()&gt;L29,"Encerrado","Pendente")),IF(K29&lt;&gt;"","Sem prazo","Pendente")))</x:f>
      </x:c>
      <x:c r="N29" s="142"/>
      <x:c r="O29" s="142"/>
    </x:row>
    <x:row r="30" ht="19" customHeight="1">
      <x:c r="A30" s="142"/>
      <x:c r="B30" s="142"/>
      <x:c r="C30" s="142"/>
      <x:c r="D30" s="142"/>
      <x:c r="E30" s="142"/>
      <x:c r="F30" s="142"/>
      <x:c r="G30" s="142"/>
      <x:c r="H30" s="142"/>
      <x:c r="I30" s="142"/>
      <x:c r="J30" s="208"/>
      <x:c r="K30" s="208"/>
      <x:c r="L30" s="208"/>
      <x:c r="M30" s="202" t="str">
        <x:f>IF(A30="","",IF(AND(K30&lt;&gt;"",L30&lt;&gt;""),IF(AND(TODAY()&gt;=K30,TODAY()&lt;=L30),"Ativo",IF(TODAY()&gt;L30,"Encerrado","Pendente")),IF(K30&lt;&gt;"","Sem prazo","Pendente")))</x:f>
      </x:c>
      <x:c r="N30" s="142"/>
      <x:c r="O30" s="142"/>
    </x:row>
    <x:row r="31" ht="19" customHeight="1">
      <x:c r="A31" s="142"/>
      <x:c r="B31" s="142"/>
      <x:c r="C31" s="142"/>
      <x:c r="D31" s="142"/>
      <x:c r="E31" s="142"/>
      <x:c r="F31" s="142"/>
      <x:c r="G31" s="142"/>
      <x:c r="H31" s="142"/>
      <x:c r="I31" s="142"/>
      <x:c r="J31" s="208"/>
      <x:c r="K31" s="208"/>
      <x:c r="L31" s="208"/>
      <x:c r="M31" s="202" t="str">
        <x:f>IF(A31="","",IF(AND(K31&lt;&gt;"",L31&lt;&gt;""),IF(AND(TODAY()&gt;=K31,TODAY()&lt;=L31),"Ativo",IF(TODAY()&gt;L31,"Encerrado","Pendente")),IF(K31&lt;&gt;"","Sem prazo","Pendente")))</x:f>
      </x:c>
      <x:c r="N31" s="142"/>
      <x:c r="O31" s="142"/>
    </x:row>
    <x:row r="32" ht="19" customHeight="1">
      <x:c r="A32" s="142"/>
      <x:c r="B32" s="142"/>
      <x:c r="C32" s="142"/>
      <x:c r="D32" s="142"/>
      <x:c r="E32" s="142"/>
      <x:c r="F32" s="142"/>
      <x:c r="G32" s="142"/>
      <x:c r="H32" s="142"/>
      <x:c r="I32" s="142"/>
      <x:c r="J32" s="208"/>
      <x:c r="K32" s="208"/>
      <x:c r="L32" s="208"/>
      <x:c r="M32" s="202" t="str">
        <x:f>IF(A32="","",IF(AND(K32&lt;&gt;"",L32&lt;&gt;""),IF(AND(TODAY()&gt;=K32,TODAY()&lt;=L32),"Ativo",IF(TODAY()&gt;L32,"Encerrado","Pendente")),IF(K32&lt;&gt;"","Sem prazo","Pendente")))</x:f>
      </x:c>
      <x:c r="N32" s="142"/>
      <x:c r="O32" s="142"/>
    </x:row>
    <x:row r="33" ht="19" customHeight="1">
      <x:c r="A33" s="142"/>
      <x:c r="B33" s="142"/>
      <x:c r="C33" s="142"/>
      <x:c r="D33" s="142"/>
      <x:c r="E33" s="142"/>
      <x:c r="F33" s="142"/>
      <x:c r="G33" s="142"/>
      <x:c r="H33" s="142"/>
      <x:c r="I33" s="142"/>
      <x:c r="J33" s="208"/>
      <x:c r="K33" s="208"/>
      <x:c r="L33" s="208"/>
      <x:c r="M33" s="202" t="str">
        <x:f>IF(A33="","",IF(AND(K33&lt;&gt;"",L33&lt;&gt;""),IF(AND(TODAY()&gt;=K33,TODAY()&lt;=L33),"Ativo",IF(TODAY()&gt;L33,"Encerrado","Pendente")),IF(K33&lt;&gt;"","Sem prazo","Pendente")))</x:f>
      </x:c>
      <x:c r="N33" s="142"/>
      <x:c r="O33" s="142"/>
    </x:row>
    <x:row r="34" ht="19" customHeight="1">
      <x:c r="A34" s="142"/>
      <x:c r="B34" s="142"/>
      <x:c r="C34" s="142"/>
      <x:c r="D34" s="142"/>
      <x:c r="E34" s="142"/>
      <x:c r="F34" s="142"/>
      <x:c r="G34" s="142"/>
      <x:c r="H34" s="142"/>
      <x:c r="I34" s="142"/>
      <x:c r="J34" s="208"/>
      <x:c r="K34" s="208"/>
      <x:c r="L34" s="208"/>
      <x:c r="M34" s="202" t="str">
        <x:f>IF(A34="","",IF(AND(K34&lt;&gt;"",L34&lt;&gt;""),IF(AND(TODAY()&gt;=K34,TODAY()&lt;=L34),"Ativo",IF(TODAY()&gt;L34,"Encerrado","Pendente")),IF(K34&lt;&gt;"","Sem prazo","Pendente")))</x:f>
      </x:c>
      <x:c r="N34" s="142"/>
      <x:c r="O34" s="142"/>
    </x:row>
    <x:row r="35" ht="19" customHeight="1">
      <x:c r="A35" s="142"/>
      <x:c r="B35" s="142"/>
      <x:c r="C35" s="142"/>
      <x:c r="D35" s="142"/>
      <x:c r="E35" s="142"/>
      <x:c r="F35" s="142"/>
      <x:c r="G35" s="142"/>
      <x:c r="H35" s="142"/>
      <x:c r="I35" s="142"/>
      <x:c r="J35" s="208"/>
      <x:c r="K35" s="208"/>
      <x:c r="L35" s="208"/>
      <x:c r="M35" s="202" t="str">
        <x:f>IF(A35="","",IF(AND(K35&lt;&gt;"",L35&lt;&gt;""),IF(AND(TODAY()&gt;=K35,TODAY()&lt;=L35),"Ativo",IF(TODAY()&gt;L35,"Encerrado","Pendente")),IF(K35&lt;&gt;"","Sem prazo","Pendente")))</x:f>
      </x:c>
      <x:c r="N35" s="142"/>
      <x:c r="O35" s="142"/>
    </x:row>
    <x:row r="36" ht="19" customHeight="1">
      <x:c r="A36" s="142"/>
      <x:c r="B36" s="142"/>
      <x:c r="C36" s="142"/>
      <x:c r="D36" s="142"/>
      <x:c r="E36" s="142"/>
      <x:c r="F36" s="142"/>
      <x:c r="G36" s="142"/>
      <x:c r="H36" s="142"/>
      <x:c r="I36" s="142"/>
      <x:c r="J36" s="208"/>
      <x:c r="K36" s="208"/>
      <x:c r="L36" s="208"/>
      <x:c r="M36" s="202" t="str">
        <x:f>IF(A36="","",IF(AND(K36&lt;&gt;"",L36&lt;&gt;""),IF(AND(TODAY()&gt;=K36,TODAY()&lt;=L36),"Ativo",IF(TODAY()&gt;L36,"Encerrado","Pendente")),IF(K36&lt;&gt;"","Sem prazo","Pendente")))</x:f>
      </x:c>
      <x:c r="N36" s="142"/>
      <x:c r="O36" s="142"/>
    </x:row>
    <x:row r="37" ht="19" customHeight="1">
      <x:c r="A37" s="142"/>
      <x:c r="B37" s="142"/>
      <x:c r="C37" s="142"/>
      <x:c r="D37" s="142"/>
      <x:c r="E37" s="142"/>
      <x:c r="F37" s="142"/>
      <x:c r="G37" s="142"/>
      <x:c r="H37" s="142"/>
      <x:c r="I37" s="142"/>
      <x:c r="J37" s="208"/>
      <x:c r="K37" s="208"/>
      <x:c r="L37" s="208"/>
      <x:c r="M37" s="202" t="str">
        <x:f>IF(A37="","",IF(AND(K37&lt;&gt;"",L37&lt;&gt;""),IF(AND(TODAY()&gt;=K37,TODAY()&lt;=L37),"Ativo",IF(TODAY()&gt;L37,"Encerrado","Pendente")),IF(K37&lt;&gt;"","Sem prazo","Pendente")))</x:f>
      </x:c>
      <x:c r="N37" s="142"/>
      <x:c r="O37" s="142"/>
    </x:row>
    <x:row r="38" ht="19" customHeight="1">
      <x:c r="A38" s="142"/>
      <x:c r="B38" s="142"/>
      <x:c r="C38" s="142"/>
      <x:c r="D38" s="142"/>
      <x:c r="E38" s="142"/>
      <x:c r="F38" s="142"/>
      <x:c r="G38" s="142"/>
      <x:c r="H38" s="142"/>
      <x:c r="I38" s="142"/>
      <x:c r="J38" s="208"/>
      <x:c r="K38" s="208"/>
      <x:c r="L38" s="208"/>
      <x:c r="M38" s="202" t="str">
        <x:f>IF(A38="","",IF(AND(K38&lt;&gt;"",L38&lt;&gt;""),IF(AND(TODAY()&gt;=K38,TODAY()&lt;=L38),"Ativo",IF(TODAY()&gt;L38,"Encerrado","Pendente")),IF(K38&lt;&gt;"","Sem prazo","Pendente")))</x:f>
      </x:c>
      <x:c r="N38" s="142"/>
      <x:c r="O38" s="142"/>
    </x:row>
    <x:row r="39" ht="19" customHeight="1">
      <x:c r="A39" s="142"/>
      <x:c r="B39" s="142"/>
      <x:c r="C39" s="142"/>
      <x:c r="D39" s="142"/>
      <x:c r="E39" s="142"/>
      <x:c r="F39" s="142"/>
      <x:c r="G39" s="142"/>
      <x:c r="H39" s="142"/>
      <x:c r="I39" s="142"/>
      <x:c r="J39" s="208"/>
      <x:c r="K39" s="208"/>
      <x:c r="L39" s="208"/>
      <x:c r="M39" s="202" t="str">
        <x:f>IF(A39="","",IF(AND(K39&lt;&gt;"",L39&lt;&gt;""),IF(AND(TODAY()&gt;=K39,TODAY()&lt;=L39),"Ativo",IF(TODAY()&gt;L39,"Encerrado","Pendente")),IF(K39&lt;&gt;"","Sem prazo","Pendente")))</x:f>
      </x:c>
      <x:c r="N39" s="142"/>
      <x:c r="O39" s="142"/>
    </x:row>
    <x:row r="40" ht="19" customHeight="1">
      <x:c r="A40" s="142"/>
      <x:c r="B40" s="142"/>
      <x:c r="C40" s="142"/>
      <x:c r="D40" s="142"/>
      <x:c r="E40" s="142"/>
      <x:c r="F40" s="142"/>
      <x:c r="G40" s="142"/>
      <x:c r="H40" s="142"/>
      <x:c r="I40" s="142"/>
      <x:c r="J40" s="208"/>
      <x:c r="K40" s="208"/>
      <x:c r="L40" s="208"/>
      <x:c r="M40" s="202" t="str">
        <x:f>IF(A40="","",IF(AND(K40&lt;&gt;"",L40&lt;&gt;""),IF(AND(TODAY()&gt;=K40,TODAY()&lt;=L40),"Ativo",IF(TODAY()&gt;L40,"Encerrado","Pendente")),IF(K40&lt;&gt;"","Sem prazo","Pendente")))</x:f>
      </x:c>
      <x:c r="N40" s="142"/>
      <x:c r="O40" s="142"/>
    </x:row>
    <x:row r="41" ht="19" customHeight="1">
      <x:c r="A41" s="142"/>
      <x:c r="B41" s="142"/>
      <x:c r="C41" s="142"/>
      <x:c r="D41" s="142"/>
      <x:c r="E41" s="142"/>
      <x:c r="F41" s="142"/>
      <x:c r="G41" s="142"/>
      <x:c r="H41" s="142"/>
      <x:c r="I41" s="142"/>
      <x:c r="J41" s="208"/>
      <x:c r="K41" s="208"/>
      <x:c r="L41" s="208"/>
      <x:c r="M41" s="202" t="str">
        <x:f>IF(A41="","",IF(AND(K41&lt;&gt;"",L41&lt;&gt;""),IF(AND(TODAY()&gt;=K41,TODAY()&lt;=L41),"Ativo",IF(TODAY()&gt;L41,"Encerrado","Pendente")),IF(K41&lt;&gt;"","Sem prazo","Pendente")))</x:f>
      </x:c>
      <x:c r="N41" s="142"/>
      <x:c r="O41" s="142"/>
    </x:row>
    <x:row r="42" ht="19" customHeight="1">
      <x:c r="A42" s="142"/>
      <x:c r="B42" s="142"/>
      <x:c r="C42" s="142"/>
      <x:c r="D42" s="142"/>
      <x:c r="E42" s="142"/>
      <x:c r="F42" s="142"/>
      <x:c r="G42" s="142"/>
      <x:c r="H42" s="142"/>
      <x:c r="I42" s="142"/>
      <x:c r="J42" s="208"/>
      <x:c r="K42" s="208"/>
      <x:c r="L42" s="208"/>
      <x:c r="M42" s="202" t="str">
        <x:f>IF(A42="","",IF(AND(K42&lt;&gt;"",L42&lt;&gt;""),IF(AND(TODAY()&gt;=K42,TODAY()&lt;=L42),"Ativo",IF(TODAY()&gt;L42,"Encerrado","Pendente")),IF(K42&lt;&gt;"","Sem prazo","Pendente")))</x:f>
      </x:c>
      <x:c r="N42" s="142"/>
      <x:c r="O42" s="142"/>
    </x:row>
    <x:row r="43" ht="19" customHeight="1">
      <x:c r="A43" s="142"/>
      <x:c r="B43" s="142"/>
      <x:c r="C43" s="142"/>
      <x:c r="D43" s="142"/>
      <x:c r="E43" s="142"/>
      <x:c r="F43" s="142"/>
      <x:c r="G43" s="142"/>
      <x:c r="H43" s="142"/>
      <x:c r="I43" s="142"/>
      <x:c r="J43" s="208"/>
      <x:c r="K43" s="208"/>
      <x:c r="L43" s="208"/>
      <x:c r="M43" s="202" t="str">
        <x:f>IF(A43="","",IF(AND(K43&lt;&gt;"",L43&lt;&gt;""),IF(AND(TODAY()&gt;=K43,TODAY()&lt;=L43),"Ativo",IF(TODAY()&gt;L43,"Encerrado","Pendente")),IF(K43&lt;&gt;"","Sem prazo","Pendente")))</x:f>
      </x:c>
      <x:c r="N43" s="142"/>
      <x:c r="O43" s="142"/>
    </x:row>
    <x:row r="44" ht="19" customHeight="1">
      <x:c r="A44" s="142"/>
      <x:c r="B44" s="142"/>
      <x:c r="C44" s="142"/>
      <x:c r="D44" s="142"/>
      <x:c r="E44" s="142"/>
      <x:c r="F44" s="142"/>
      <x:c r="G44" s="142"/>
      <x:c r="H44" s="142"/>
      <x:c r="I44" s="142"/>
      <x:c r="J44" s="208"/>
      <x:c r="K44" s="208"/>
      <x:c r="L44" s="208"/>
      <x:c r="M44" s="202" t="str">
        <x:f>IF(A44="","",IF(AND(K44&lt;&gt;"",L44&lt;&gt;""),IF(AND(TODAY()&gt;=K44,TODAY()&lt;=L44),"Ativo",IF(TODAY()&gt;L44,"Encerrado","Pendente")),IF(K44&lt;&gt;"","Sem prazo","Pendente")))</x:f>
      </x:c>
      <x:c r="N44" s="142"/>
      <x:c r="O44" s="142"/>
    </x:row>
    <x:row r="45" ht="19" customHeight="1">
      <x:c r="A45" s="142"/>
      <x:c r="B45" s="142"/>
      <x:c r="C45" s="142"/>
      <x:c r="D45" s="142"/>
      <x:c r="E45" s="142"/>
      <x:c r="F45" s="142"/>
      <x:c r="G45" s="142"/>
      <x:c r="H45" s="142"/>
      <x:c r="I45" s="142"/>
      <x:c r="J45" s="208"/>
      <x:c r="K45" s="208"/>
      <x:c r="L45" s="208"/>
      <x:c r="M45" s="202" t="str">
        <x:f>IF(A45="","",IF(AND(K45&lt;&gt;"",L45&lt;&gt;""),IF(AND(TODAY()&gt;=K45,TODAY()&lt;=L45),"Ativo",IF(TODAY()&gt;L45,"Encerrado","Pendente")),IF(K45&lt;&gt;"","Sem prazo","Pendente")))</x:f>
      </x:c>
      <x:c r="N45" s="142"/>
      <x:c r="O45" s="142"/>
    </x:row>
    <x:row r="46" ht="19" customHeight="1">
      <x:c r="A46" s="142"/>
      <x:c r="B46" s="142"/>
      <x:c r="C46" s="142"/>
      <x:c r="D46" s="142"/>
      <x:c r="E46" s="142"/>
      <x:c r="F46" s="142"/>
      <x:c r="G46" s="142"/>
      <x:c r="H46" s="142"/>
      <x:c r="I46" s="142"/>
      <x:c r="J46" s="208"/>
      <x:c r="K46" s="208"/>
      <x:c r="L46" s="208"/>
      <x:c r="M46" s="202" t="str">
        <x:f>IF(A46="","",IF(AND(K46&lt;&gt;"",L46&lt;&gt;""),IF(AND(TODAY()&gt;=K46,TODAY()&lt;=L46),"Ativo",IF(TODAY()&gt;L46,"Encerrado","Pendente")),IF(K46&lt;&gt;"","Sem prazo","Pendente")))</x:f>
      </x:c>
      <x:c r="N46" s="142"/>
      <x:c r="O46" s="142"/>
    </x:row>
    <x:row r="47" ht="19" customHeight="1">
      <x:c r="A47" s="142"/>
      <x:c r="B47" s="142"/>
      <x:c r="C47" s="142"/>
      <x:c r="D47" s="142"/>
      <x:c r="E47" s="142"/>
      <x:c r="F47" s="142"/>
      <x:c r="G47" s="142"/>
      <x:c r="H47" s="142"/>
      <x:c r="I47" s="142"/>
      <x:c r="J47" s="208"/>
      <x:c r="K47" s="208"/>
      <x:c r="L47" s="208"/>
      <x:c r="M47" s="202" t="str">
        <x:f>IF(A47="","",IF(AND(K47&lt;&gt;"",L47&lt;&gt;""),IF(AND(TODAY()&gt;=K47,TODAY()&lt;=L47),"Ativo",IF(TODAY()&gt;L47,"Encerrado","Pendente")),IF(K47&lt;&gt;"","Sem prazo","Pendente")))</x:f>
      </x:c>
      <x:c r="N47" s="142"/>
      <x:c r="O47" s="142"/>
    </x:row>
    <x:row r="48" ht="19" customHeight="1">
      <x:c r="A48" s="142"/>
      <x:c r="B48" s="142"/>
      <x:c r="C48" s="142"/>
      <x:c r="D48" s="142"/>
      <x:c r="E48" s="142"/>
      <x:c r="F48" s="142"/>
      <x:c r="G48" s="142"/>
      <x:c r="H48" s="142"/>
      <x:c r="I48" s="142"/>
      <x:c r="J48" s="208"/>
      <x:c r="K48" s="208"/>
      <x:c r="L48" s="208"/>
      <x:c r="M48" s="202" t="str">
        <x:f>IF(A48="","",IF(AND(K48&lt;&gt;"",L48&lt;&gt;""),IF(AND(TODAY()&gt;=K48,TODAY()&lt;=L48),"Ativo",IF(TODAY()&gt;L48,"Encerrado","Pendente")),IF(K48&lt;&gt;"","Sem prazo","Pendente")))</x:f>
      </x:c>
      <x:c r="N48" s="142"/>
      <x:c r="O48" s="142"/>
    </x:row>
    <x:row r="49" ht="19" customHeight="1">
      <x:c r="A49" s="142"/>
      <x:c r="B49" s="142"/>
      <x:c r="C49" s="142"/>
      <x:c r="D49" s="142"/>
      <x:c r="E49" s="142"/>
      <x:c r="F49" s="142"/>
      <x:c r="G49" s="142"/>
      <x:c r="H49" s="142"/>
      <x:c r="I49" s="142"/>
      <x:c r="J49" s="208"/>
      <x:c r="K49" s="208"/>
      <x:c r="L49" s="208"/>
      <x:c r="M49" s="202" t="str">
        <x:f>IF(A49="","",IF(AND(K49&lt;&gt;"",L49&lt;&gt;""),IF(AND(TODAY()&gt;=K49,TODAY()&lt;=L49),"Ativo",IF(TODAY()&gt;L49,"Encerrado","Pendente")),IF(K49&lt;&gt;"","Sem prazo","Pendente")))</x:f>
      </x:c>
      <x:c r="N49" s="142"/>
      <x:c r="O49" s="142"/>
    </x:row>
    <x:row r="50" ht="19" customHeight="1">
      <x:c r="A50" s="142"/>
      <x:c r="B50" s="142"/>
      <x:c r="C50" s="142"/>
      <x:c r="D50" s="142"/>
      <x:c r="E50" s="142"/>
      <x:c r="F50" s="142"/>
      <x:c r="G50" s="142"/>
      <x:c r="H50" s="142"/>
      <x:c r="I50" s="142"/>
      <x:c r="J50" s="208"/>
      <x:c r="K50" s="208"/>
      <x:c r="L50" s="208"/>
      <x:c r="M50" s="202" t="str">
        <x:f>IF(A50="","",IF(AND(K50&lt;&gt;"",L50&lt;&gt;""),IF(AND(TODAY()&gt;=K50,TODAY()&lt;=L50),"Ativo",IF(TODAY()&gt;L50,"Encerrado","Pendente")),IF(K50&lt;&gt;"","Sem prazo","Pendente")))</x:f>
      </x:c>
      <x:c r="N50" s="142"/>
      <x:c r="O50" s="142"/>
    </x:row>
    <x:row r="51" ht="19" customHeight="1">
      <x:c r="A51" s="142"/>
      <x:c r="B51" s="142"/>
      <x:c r="C51" s="142"/>
      <x:c r="D51" s="142"/>
      <x:c r="E51" s="142"/>
      <x:c r="F51" s="142"/>
      <x:c r="G51" s="142"/>
      <x:c r="H51" s="142"/>
      <x:c r="I51" s="142"/>
      <x:c r="J51" s="208"/>
      <x:c r="K51" s="208"/>
      <x:c r="L51" s="208"/>
      <x:c r="M51" s="202" t="str">
        <x:f>IF(A51="","",IF(AND(K51&lt;&gt;"",L51&lt;&gt;""),IF(AND(TODAY()&gt;=K51,TODAY()&lt;=L51),"Ativo",IF(TODAY()&gt;L51,"Encerrado","Pendente")),IF(K51&lt;&gt;"","Sem prazo","Pendente")))</x:f>
      </x:c>
      <x:c r="N51" s="142"/>
      <x:c r="O51" s="142"/>
    </x:row>
    <x:row r="52" ht="19" customHeight="1">
      <x:c r="A52" s="142"/>
      <x:c r="B52" s="142"/>
      <x:c r="C52" s="142"/>
      <x:c r="D52" s="142"/>
      <x:c r="E52" s="142"/>
      <x:c r="F52" s="142"/>
      <x:c r="G52" s="142"/>
      <x:c r="H52" s="142"/>
      <x:c r="I52" s="142"/>
      <x:c r="J52" s="208"/>
      <x:c r="K52" s="208"/>
      <x:c r="L52" s="208"/>
      <x:c r="M52" s="202" t="str">
        <x:f>IF(A52="","",IF(AND(K52&lt;&gt;"",L52&lt;&gt;""),IF(AND(TODAY()&gt;=K52,TODAY()&lt;=L52),"Ativo",IF(TODAY()&gt;L52,"Encerrado","Pendente")),IF(K52&lt;&gt;"","Sem prazo","Pendente")))</x:f>
      </x:c>
      <x:c r="N52" s="142"/>
      <x:c r="O52" s="142"/>
    </x:row>
    <x:row r="53" ht="19" customHeight="1">
      <x:c r="A53" s="142"/>
      <x:c r="B53" s="142"/>
      <x:c r="C53" s="142"/>
      <x:c r="D53" s="142"/>
      <x:c r="E53" s="142"/>
      <x:c r="F53" s="142"/>
      <x:c r="G53" s="142"/>
      <x:c r="H53" s="142"/>
      <x:c r="I53" s="142"/>
      <x:c r="J53" s="208"/>
      <x:c r="K53" s="208"/>
      <x:c r="L53" s="208"/>
      <x:c r="M53" s="202" t="str">
        <x:f>IF(A53="","",IF(AND(K53&lt;&gt;"",L53&lt;&gt;""),IF(AND(TODAY()&gt;=K53,TODAY()&lt;=L53),"Ativo",IF(TODAY()&gt;L53,"Encerrado","Pendente")),IF(K53&lt;&gt;"","Sem prazo","Pendente")))</x:f>
      </x:c>
      <x:c r="N53" s="142"/>
      <x:c r="O53" s="142"/>
    </x:row>
    <x:row r="54" ht="19" customHeight="1">
      <x:c r="A54" s="142"/>
      <x:c r="B54" s="142"/>
      <x:c r="C54" s="142"/>
      <x:c r="D54" s="142"/>
      <x:c r="E54" s="142"/>
      <x:c r="F54" s="142"/>
      <x:c r="G54" s="142"/>
      <x:c r="H54" s="142"/>
      <x:c r="I54" s="142"/>
      <x:c r="J54" s="208"/>
      <x:c r="K54" s="208"/>
      <x:c r="L54" s="208"/>
      <x:c r="M54" s="202" t="str">
        <x:f>IF(A54="","",IF(AND(K54&lt;&gt;"",L54&lt;&gt;""),IF(AND(TODAY()&gt;=K54,TODAY()&lt;=L54),"Ativo",IF(TODAY()&gt;L54,"Encerrado","Pendente")),IF(K54&lt;&gt;"","Sem prazo","Pendente")))</x:f>
      </x:c>
      <x:c r="N54" s="142"/>
      <x:c r="O54" s="142"/>
    </x:row>
    <x:row r="55" ht="19" customHeight="1">
      <x:c r="A55" s="142"/>
      <x:c r="B55" s="142"/>
      <x:c r="C55" s="142"/>
      <x:c r="D55" s="142"/>
      <x:c r="E55" s="142"/>
      <x:c r="F55" s="142"/>
      <x:c r="G55" s="142"/>
      <x:c r="H55" s="142"/>
      <x:c r="I55" s="142"/>
      <x:c r="J55" s="208"/>
      <x:c r="K55" s="208"/>
      <x:c r="L55" s="208"/>
      <x:c r="M55" s="202" t="str">
        <x:f>IF(A55="","",IF(AND(K55&lt;&gt;"",L55&lt;&gt;""),IF(AND(TODAY()&gt;=K55,TODAY()&lt;=L55),"Ativo",IF(TODAY()&gt;L55,"Encerrado","Pendente")),IF(K55&lt;&gt;"","Sem prazo","Pendente")))</x:f>
      </x:c>
      <x:c r="N55" s="142"/>
      <x:c r="O55" s="142"/>
    </x:row>
    <x:row r="56" ht="19" customHeight="1">
      <x:c r="A56" s="142"/>
      <x:c r="B56" s="142"/>
      <x:c r="C56" s="142"/>
      <x:c r="D56" s="142"/>
      <x:c r="E56" s="142"/>
      <x:c r="F56" s="142"/>
      <x:c r="G56" s="142"/>
      <x:c r="H56" s="142"/>
      <x:c r="I56" s="142"/>
      <x:c r="J56" s="208"/>
      <x:c r="K56" s="208"/>
      <x:c r="L56" s="208"/>
      <x:c r="M56" s="202" t="str">
        <x:f>IF(A56="","",IF(AND(K56&lt;&gt;"",L56&lt;&gt;""),IF(AND(TODAY()&gt;=K56,TODAY()&lt;=L56),"Ativo",IF(TODAY()&gt;L56,"Encerrado","Pendente")),IF(K56&lt;&gt;"","Sem prazo","Pendente")))</x:f>
      </x:c>
      <x:c r="N56" s="142"/>
      <x:c r="O56" s="142"/>
    </x:row>
    <x:row r="57" ht="19" customHeight="1">
      <x:c r="A57" s="142"/>
      <x:c r="B57" s="142"/>
      <x:c r="C57" s="142"/>
      <x:c r="D57" s="142"/>
      <x:c r="E57" s="142"/>
      <x:c r="F57" s="142"/>
      <x:c r="G57" s="142"/>
      <x:c r="H57" s="142"/>
      <x:c r="I57" s="142"/>
      <x:c r="J57" s="208"/>
      <x:c r="K57" s="208"/>
      <x:c r="L57" s="208"/>
      <x:c r="M57" s="202" t="str">
        <x:f>IF(A57="","",IF(AND(K57&lt;&gt;"",L57&lt;&gt;""),IF(AND(TODAY()&gt;=K57,TODAY()&lt;=L57),"Ativo",IF(TODAY()&gt;L57,"Encerrado","Pendente")),IF(K57&lt;&gt;"","Sem prazo","Pendente")))</x:f>
      </x:c>
      <x:c r="N57" s="142"/>
      <x:c r="O57" s="142"/>
    </x:row>
    <x:row r="58" ht="19" customHeight="1">
      <x:c r="A58" s="142"/>
      <x:c r="B58" s="142"/>
      <x:c r="C58" s="142"/>
      <x:c r="D58" s="142"/>
      <x:c r="E58" s="142"/>
      <x:c r="F58" s="142"/>
      <x:c r="G58" s="142"/>
      <x:c r="H58" s="142"/>
      <x:c r="I58" s="142"/>
      <x:c r="J58" s="208"/>
      <x:c r="K58" s="208"/>
      <x:c r="L58" s="208"/>
      <x:c r="M58" s="202" t="str">
        <x:f>IF(A58="","",IF(AND(K58&lt;&gt;"",L58&lt;&gt;""),IF(AND(TODAY()&gt;=K58,TODAY()&lt;=L58),"Ativo",IF(TODAY()&gt;L58,"Encerrado","Pendente")),IF(K58&lt;&gt;"","Sem prazo","Pendente")))</x:f>
      </x:c>
      <x:c r="N58" s="142"/>
      <x:c r="O58" s="142"/>
    </x:row>
    <x:row r="59" ht="19" customHeight="1">
      <x:c r="A59" s="142"/>
      <x:c r="B59" s="142"/>
      <x:c r="C59" s="142"/>
      <x:c r="D59" s="142"/>
      <x:c r="E59" s="142"/>
      <x:c r="F59" s="142"/>
      <x:c r="G59" s="142"/>
      <x:c r="H59" s="142"/>
      <x:c r="I59" s="142"/>
      <x:c r="J59" s="208"/>
      <x:c r="K59" s="208"/>
      <x:c r="L59" s="208"/>
      <x:c r="M59" s="202" t="str">
        <x:f>IF(A59="","",IF(AND(K59&lt;&gt;"",L59&lt;&gt;""),IF(AND(TODAY()&gt;=K59,TODAY()&lt;=L59),"Ativo",IF(TODAY()&gt;L59,"Encerrado","Pendente")),IF(K59&lt;&gt;"","Sem prazo","Pendente")))</x:f>
      </x:c>
      <x:c r="N59" s="142"/>
      <x:c r="O59" s="142"/>
    </x:row>
    <x:row r="60" ht="19" customHeight="1">
      <x:c r="A60" s="142"/>
      <x:c r="B60" s="142"/>
      <x:c r="C60" s="142"/>
      <x:c r="D60" s="142"/>
      <x:c r="E60" s="142"/>
      <x:c r="F60" s="142"/>
      <x:c r="G60" s="142"/>
      <x:c r="H60" s="142"/>
      <x:c r="I60" s="142"/>
      <x:c r="J60" s="208"/>
      <x:c r="K60" s="208"/>
      <x:c r="L60" s="208"/>
      <x:c r="M60" s="202" t="str">
        <x:f>IF(A60="","",IF(AND(K60&lt;&gt;"",L60&lt;&gt;""),IF(AND(TODAY()&gt;=K60,TODAY()&lt;=L60),"Ativo",IF(TODAY()&gt;L60,"Encerrado","Pendente")),IF(K60&lt;&gt;"","Sem prazo","Pendente")))</x:f>
      </x:c>
      <x:c r="N60" s="142"/>
      <x:c r="O60" s="142"/>
    </x:row>
    <x:row r="61" ht="19" customHeight="1">
      <x:c r="A61" s="142"/>
      <x:c r="B61" s="142"/>
      <x:c r="C61" s="142"/>
      <x:c r="D61" s="142"/>
      <x:c r="E61" s="142"/>
      <x:c r="F61" s="142"/>
      <x:c r="G61" s="142"/>
      <x:c r="H61" s="142"/>
      <x:c r="I61" s="142"/>
      <x:c r="J61" s="208"/>
      <x:c r="K61" s="208"/>
      <x:c r="L61" s="208"/>
      <x:c r="M61" s="202" t="str">
        <x:f>IF(A61="","",IF(AND(K61&lt;&gt;"",L61&lt;&gt;""),IF(AND(TODAY()&gt;=K61,TODAY()&lt;=L61),"Ativo",IF(TODAY()&gt;L61,"Encerrado","Pendente")),IF(K61&lt;&gt;"","Sem prazo","Pendente")))</x:f>
      </x:c>
      <x:c r="N61" s="142"/>
      <x:c r="O61" s="142"/>
    </x:row>
    <x:row r="62" ht="19" customHeight="1">
      <x:c r="A62" s="142"/>
      <x:c r="B62" s="142"/>
      <x:c r="C62" s="142"/>
      <x:c r="D62" s="142"/>
      <x:c r="E62" s="142"/>
      <x:c r="F62" s="142"/>
      <x:c r="G62" s="142"/>
      <x:c r="H62" s="142"/>
      <x:c r="I62" s="142"/>
      <x:c r="J62" s="208"/>
      <x:c r="K62" s="208"/>
      <x:c r="L62" s="208"/>
      <x:c r="M62" s="202" t="str">
        <x:f>IF(A62="","",IF(AND(K62&lt;&gt;"",L62&lt;&gt;""),IF(AND(TODAY()&gt;=K62,TODAY()&lt;=L62),"Ativo",IF(TODAY()&gt;L62,"Encerrado","Pendente")),IF(K62&lt;&gt;"","Sem prazo","Pendente")))</x:f>
      </x:c>
      <x:c r="N62" s="142"/>
      <x:c r="O62" s="142"/>
    </x:row>
    <x:row r="63" ht="19" customHeight="1">
      <x:c r="A63" s="142"/>
      <x:c r="B63" s="142"/>
      <x:c r="C63" s="142"/>
      <x:c r="D63" s="142"/>
      <x:c r="E63" s="142"/>
      <x:c r="F63" s="142"/>
      <x:c r="G63" s="142"/>
      <x:c r="H63" s="142"/>
      <x:c r="I63" s="142"/>
      <x:c r="J63" s="208"/>
      <x:c r="K63" s="208"/>
      <x:c r="L63" s="208"/>
      <x:c r="M63" s="202" t="str">
        <x:f>IF(A63="","",IF(AND(K63&lt;&gt;"",L63&lt;&gt;""),IF(AND(TODAY()&gt;=K63,TODAY()&lt;=L63),"Ativo",IF(TODAY()&gt;L63,"Encerrado","Pendente")),IF(K63&lt;&gt;"","Sem prazo","Pendente")))</x:f>
      </x:c>
      <x:c r="N63" s="142"/>
      <x:c r="O63" s="142"/>
    </x:row>
    <x:row r="64" ht="19" customHeight="1">
      <x:c r="A64" s="142"/>
      <x:c r="B64" s="142"/>
      <x:c r="C64" s="142"/>
      <x:c r="D64" s="142"/>
      <x:c r="E64" s="142"/>
      <x:c r="F64" s="142"/>
      <x:c r="G64" s="142"/>
      <x:c r="H64" s="142"/>
      <x:c r="I64" s="142"/>
      <x:c r="J64" s="208"/>
      <x:c r="K64" s="208"/>
      <x:c r="L64" s="208"/>
      <x:c r="M64" s="202" t="str">
        <x:f>IF(A64="","",IF(AND(K64&lt;&gt;"",L64&lt;&gt;""),IF(AND(TODAY()&gt;=K64,TODAY()&lt;=L64),"Ativo",IF(TODAY()&gt;L64,"Encerrado","Pendente")),IF(K64&lt;&gt;"","Sem prazo","Pendente")))</x:f>
      </x:c>
      <x:c r="N64" s="142"/>
      <x:c r="O64" s="142"/>
    </x:row>
    <x:row r="65" ht="19" customHeight="1">
      <x:c r="A65" s="142"/>
      <x:c r="B65" s="142"/>
      <x:c r="C65" s="142"/>
      <x:c r="D65" s="142"/>
      <x:c r="E65" s="142"/>
      <x:c r="F65" s="142"/>
      <x:c r="G65" s="142"/>
      <x:c r="H65" s="142"/>
      <x:c r="I65" s="142"/>
      <x:c r="J65" s="208"/>
      <x:c r="K65" s="208"/>
      <x:c r="L65" s="208"/>
      <x:c r="M65" s="202" t="str">
        <x:f>IF(A65="","",IF(AND(K65&lt;&gt;"",L65&lt;&gt;""),IF(AND(TODAY()&gt;=K65,TODAY()&lt;=L65),"Ativo",IF(TODAY()&gt;L65,"Encerrado","Pendente")),IF(K65&lt;&gt;"","Sem prazo","Pendente")))</x:f>
      </x:c>
      <x:c r="N65" s="142"/>
      <x:c r="O65" s="142"/>
    </x:row>
    <x:row r="66" ht="19" customHeight="1">
      <x:c r="A66" s="142"/>
      <x:c r="B66" s="142"/>
      <x:c r="C66" s="142"/>
      <x:c r="D66" s="142"/>
      <x:c r="E66" s="142"/>
      <x:c r="F66" s="142"/>
      <x:c r="G66" s="142"/>
      <x:c r="H66" s="142"/>
      <x:c r="I66" s="142"/>
      <x:c r="J66" s="208"/>
      <x:c r="K66" s="208"/>
      <x:c r="L66" s="208"/>
      <x:c r="M66" s="202" t="str">
        <x:f>IF(A66="","",IF(AND(K66&lt;&gt;"",L66&lt;&gt;""),IF(AND(TODAY()&gt;=K66,TODAY()&lt;=L66),"Ativo",IF(TODAY()&gt;L66,"Encerrado","Pendente")),IF(K66&lt;&gt;"","Sem prazo","Pendente")))</x:f>
      </x:c>
      <x:c r="N66" s="142"/>
      <x:c r="O66" s="142"/>
    </x:row>
    <x:row r="67" ht="19" customHeight="1">
      <x:c r="A67" s="142"/>
      <x:c r="B67" s="142"/>
      <x:c r="C67" s="142"/>
      <x:c r="D67" s="142"/>
      <x:c r="E67" s="142"/>
      <x:c r="F67" s="142"/>
      <x:c r="G67" s="142"/>
      <x:c r="H67" s="142"/>
      <x:c r="I67" s="142"/>
      <x:c r="J67" s="208"/>
      <x:c r="K67" s="208"/>
      <x:c r="L67" s="208"/>
      <x:c r="M67" s="202" t="str">
        <x:f>IF(A67="","",IF(AND(K67&lt;&gt;"",L67&lt;&gt;""),IF(AND(TODAY()&gt;=K67,TODAY()&lt;=L67),"Ativo",IF(TODAY()&gt;L67,"Encerrado","Pendente")),IF(K67&lt;&gt;"","Sem prazo","Pendente")))</x:f>
      </x:c>
      <x:c r="N67" s="142"/>
      <x:c r="O67" s="142"/>
    </x:row>
    <x:row r="68" ht="19" customHeight="1">
      <x:c r="A68" s="142"/>
      <x:c r="B68" s="142"/>
      <x:c r="C68" s="142"/>
      <x:c r="D68" s="142"/>
      <x:c r="E68" s="142"/>
      <x:c r="F68" s="142"/>
      <x:c r="G68" s="142"/>
      <x:c r="H68" s="142"/>
      <x:c r="I68" s="142"/>
      <x:c r="J68" s="208"/>
      <x:c r="K68" s="208"/>
      <x:c r="L68" s="208"/>
      <x:c r="M68" s="202" t="str">
        <x:f>IF(A68="","",IF(AND(K68&lt;&gt;"",L68&lt;&gt;""),IF(AND(TODAY()&gt;=K68,TODAY()&lt;=L68),"Ativo",IF(TODAY()&gt;L68,"Encerrado","Pendente")),IF(K68&lt;&gt;"","Sem prazo","Pendente")))</x:f>
      </x:c>
      <x:c r="N68" s="142"/>
      <x:c r="O68" s="142"/>
    </x:row>
    <x:row r="69" ht="19" customHeight="1">
      <x:c r="A69" s="142"/>
      <x:c r="B69" s="142"/>
      <x:c r="C69" s="142"/>
      <x:c r="D69" s="142"/>
      <x:c r="E69" s="142"/>
      <x:c r="F69" s="142"/>
      <x:c r="G69" s="142"/>
      <x:c r="H69" s="142"/>
      <x:c r="I69" s="142"/>
      <x:c r="J69" s="208"/>
      <x:c r="K69" s="208"/>
      <x:c r="L69" s="208"/>
      <x:c r="M69" s="202" t="str">
        <x:f>IF(A69="","",IF(AND(K69&lt;&gt;"",L69&lt;&gt;""),IF(AND(TODAY()&gt;=K69,TODAY()&lt;=L69),"Ativo",IF(TODAY()&gt;L69,"Encerrado","Pendente")),IF(K69&lt;&gt;"","Sem prazo","Pendente")))</x:f>
      </x:c>
      <x:c r="N69" s="142"/>
      <x:c r="O69" s="142"/>
    </x:row>
    <x:row r="70" ht="19" customHeight="1">
      <x:c r="A70" s="142"/>
      <x:c r="B70" s="142"/>
      <x:c r="C70" s="142"/>
      <x:c r="D70" s="142"/>
      <x:c r="E70" s="142"/>
      <x:c r="F70" s="142"/>
      <x:c r="G70" s="142"/>
      <x:c r="H70" s="142"/>
      <x:c r="I70" s="142"/>
      <x:c r="J70" s="208"/>
      <x:c r="K70" s="208"/>
      <x:c r="L70" s="208"/>
      <x:c r="M70" s="202" t="str">
        <x:f>IF(A70="","",IF(AND(K70&lt;&gt;"",L70&lt;&gt;""),IF(AND(TODAY()&gt;=K70,TODAY()&lt;=L70),"Ativo",IF(TODAY()&gt;L70,"Encerrado","Pendente")),IF(K70&lt;&gt;"","Sem prazo","Pendente")))</x:f>
      </x:c>
      <x:c r="N70" s="142"/>
      <x:c r="O70" s="142"/>
    </x:row>
    <x:row r="71" ht="19" customHeight="1">
      <x:c r="A71" s="142"/>
      <x:c r="B71" s="142"/>
      <x:c r="C71" s="142"/>
      <x:c r="D71" s="142"/>
      <x:c r="E71" s="142"/>
      <x:c r="F71" s="142"/>
      <x:c r="G71" s="142"/>
      <x:c r="H71" s="142"/>
      <x:c r="I71" s="142"/>
      <x:c r="J71" s="208"/>
      <x:c r="K71" s="208"/>
      <x:c r="L71" s="208"/>
      <x:c r="M71" s="202" t="str">
        <x:f>IF(A71="","",IF(AND(K71&lt;&gt;"",L71&lt;&gt;""),IF(AND(TODAY()&gt;=K71,TODAY()&lt;=L71),"Ativo",IF(TODAY()&gt;L71,"Encerrado","Pendente")),IF(K71&lt;&gt;"","Sem prazo","Pendente")))</x:f>
      </x:c>
      <x:c r="N71" s="142"/>
      <x:c r="O71" s="142"/>
    </x:row>
    <x:row r="72" ht="19" customHeight="1">
      <x:c r="A72" s="142"/>
      <x:c r="B72" s="142"/>
      <x:c r="C72" s="142"/>
      <x:c r="D72" s="142"/>
      <x:c r="E72" s="142"/>
      <x:c r="F72" s="142"/>
      <x:c r="G72" s="142"/>
      <x:c r="H72" s="142"/>
      <x:c r="I72" s="142"/>
      <x:c r="J72" s="208"/>
      <x:c r="K72" s="208"/>
      <x:c r="L72" s="208"/>
      <x:c r="M72" s="202" t="str">
        <x:f>IF(A72="","",IF(AND(K72&lt;&gt;"",L72&lt;&gt;""),IF(AND(TODAY()&gt;=K72,TODAY()&lt;=L72),"Ativo",IF(TODAY()&gt;L72,"Encerrado","Pendente")),IF(K72&lt;&gt;"","Sem prazo","Pendente")))</x:f>
      </x:c>
      <x:c r="N72" s="142"/>
      <x:c r="O72" s="142"/>
    </x:row>
    <x:row r="73" ht="19" customHeight="1">
      <x:c r="A73" s="142"/>
      <x:c r="B73" s="142"/>
      <x:c r="C73" s="142"/>
      <x:c r="D73" s="142"/>
      <x:c r="E73" s="142"/>
      <x:c r="F73" s="142"/>
      <x:c r="G73" s="142"/>
      <x:c r="H73" s="142"/>
      <x:c r="I73" s="142"/>
      <x:c r="J73" s="208"/>
      <x:c r="K73" s="208"/>
      <x:c r="L73" s="208"/>
      <x:c r="M73" s="202" t="str">
        <x:f>IF(A73="","",IF(AND(K73&lt;&gt;"",L73&lt;&gt;""),IF(AND(TODAY()&gt;=K73,TODAY()&lt;=L73),"Ativo",IF(TODAY()&gt;L73,"Encerrado","Pendente")),IF(K73&lt;&gt;"","Sem prazo","Pendente")))</x:f>
      </x:c>
      <x:c r="N73" s="142"/>
      <x:c r="O73" s="142"/>
    </x:row>
    <x:row r="74" ht="19" customHeight="1">
      <x:c r="A74" s="142"/>
      <x:c r="B74" s="142"/>
      <x:c r="C74" s="142"/>
      <x:c r="D74" s="142"/>
      <x:c r="E74" s="142"/>
      <x:c r="F74" s="142"/>
      <x:c r="G74" s="142"/>
      <x:c r="H74" s="142"/>
      <x:c r="I74" s="142"/>
      <x:c r="J74" s="208"/>
      <x:c r="K74" s="208"/>
      <x:c r="L74" s="208"/>
      <x:c r="M74" s="202" t="str">
        <x:f>IF(A74="","",IF(AND(K74&lt;&gt;"",L74&lt;&gt;""),IF(AND(TODAY()&gt;=K74,TODAY()&lt;=L74),"Ativo",IF(TODAY()&gt;L74,"Encerrado","Pendente")),IF(K74&lt;&gt;"","Sem prazo","Pendente")))</x:f>
      </x:c>
      <x:c r="N74" s="142"/>
      <x:c r="O74" s="142"/>
    </x:row>
    <x:row r="75" ht="19" customHeight="1">
      <x:c r="A75" s="142"/>
      <x:c r="B75" s="142"/>
      <x:c r="C75" s="142"/>
      <x:c r="D75" s="142"/>
      <x:c r="E75" s="142"/>
      <x:c r="F75" s="142"/>
      <x:c r="G75" s="142"/>
      <x:c r="H75" s="142"/>
      <x:c r="I75" s="142"/>
      <x:c r="J75" s="208"/>
      <x:c r="K75" s="208"/>
      <x:c r="L75" s="208"/>
      <x:c r="M75" s="202" t="str">
        <x:f>IF(A75="","",IF(AND(K75&lt;&gt;"",L75&lt;&gt;""),IF(AND(TODAY()&gt;=K75,TODAY()&lt;=L75),"Ativo",IF(TODAY()&gt;L75,"Encerrado","Pendente")),IF(K75&lt;&gt;"","Sem prazo","Pendente")))</x:f>
      </x:c>
      <x:c r="N75" s="142"/>
      <x:c r="O75" s="142"/>
    </x:row>
    <x:row r="76" ht="19" customHeight="1">
      <x:c r="A76" s="142"/>
      <x:c r="B76" s="142"/>
      <x:c r="C76" s="142"/>
      <x:c r="D76" s="142"/>
      <x:c r="E76" s="142"/>
      <x:c r="F76" s="142"/>
      <x:c r="G76" s="142"/>
      <x:c r="H76" s="142"/>
      <x:c r="I76" s="142"/>
      <x:c r="J76" s="208"/>
      <x:c r="K76" s="208"/>
      <x:c r="L76" s="208"/>
      <x:c r="M76" s="202" t="str">
        <x:f>IF(A76="","",IF(AND(K76&lt;&gt;"",L76&lt;&gt;""),IF(AND(TODAY()&gt;=K76,TODAY()&lt;=L76),"Ativo",IF(TODAY()&gt;L76,"Encerrado","Pendente")),IF(K76&lt;&gt;"","Sem prazo","Pendente")))</x:f>
      </x:c>
      <x:c r="N76" s="142"/>
      <x:c r="O76" s="142"/>
    </x:row>
    <x:row r="77" ht="19" customHeight="1">
      <x:c r="A77" s="142"/>
      <x:c r="B77" s="142"/>
      <x:c r="C77" s="142"/>
      <x:c r="D77" s="142"/>
      <x:c r="E77" s="142"/>
      <x:c r="F77" s="142"/>
      <x:c r="G77" s="142"/>
      <x:c r="H77" s="142"/>
      <x:c r="I77" s="142"/>
      <x:c r="J77" s="208"/>
      <x:c r="K77" s="208"/>
      <x:c r="L77" s="208"/>
      <x:c r="M77" s="202" t="str">
        <x:f>IF(A77="","",IF(AND(K77&lt;&gt;"",L77&lt;&gt;""),IF(AND(TODAY()&gt;=K77,TODAY()&lt;=L77),"Ativo",IF(TODAY()&gt;L77,"Encerrado","Pendente")),IF(K77&lt;&gt;"","Sem prazo","Pendente")))</x:f>
      </x:c>
      <x:c r="N77" s="142"/>
      <x:c r="O77" s="142"/>
    </x:row>
    <x:row r="78" ht="19" customHeight="1">
      <x:c r="A78" s="142"/>
      <x:c r="B78" s="142"/>
      <x:c r="C78" s="142"/>
      <x:c r="D78" s="142"/>
      <x:c r="E78" s="142"/>
      <x:c r="F78" s="142"/>
      <x:c r="G78" s="142"/>
      <x:c r="H78" s="142"/>
      <x:c r="I78" s="142"/>
      <x:c r="J78" s="208"/>
      <x:c r="K78" s="208"/>
      <x:c r="L78" s="208"/>
      <x:c r="M78" s="202" t="str">
        <x:f>IF(A78="","",IF(AND(K78&lt;&gt;"",L78&lt;&gt;""),IF(AND(TODAY()&gt;=K78,TODAY()&lt;=L78),"Ativo",IF(TODAY()&gt;L78,"Encerrado","Pendente")),IF(K78&lt;&gt;"","Sem prazo","Pendente")))</x:f>
      </x:c>
      <x:c r="N78" s="142"/>
      <x:c r="O78" s="142"/>
    </x:row>
    <x:row r="79" ht="19" customHeight="1">
      <x:c r="A79" s="142"/>
      <x:c r="B79" s="142"/>
      <x:c r="C79" s="142"/>
      <x:c r="D79" s="142"/>
      <x:c r="E79" s="142"/>
      <x:c r="F79" s="142"/>
      <x:c r="G79" s="142"/>
      <x:c r="H79" s="142"/>
      <x:c r="I79" s="142"/>
      <x:c r="J79" s="208"/>
      <x:c r="K79" s="208"/>
      <x:c r="L79" s="208"/>
      <x:c r="M79" s="202" t="str">
        <x:f>IF(A79="","",IF(AND(K79&lt;&gt;"",L79&lt;&gt;""),IF(AND(TODAY()&gt;=K79,TODAY()&lt;=L79),"Ativo",IF(TODAY()&gt;L79,"Encerrado","Pendente")),IF(K79&lt;&gt;"","Sem prazo","Pendente")))</x:f>
      </x:c>
      <x:c r="N79" s="142"/>
      <x:c r="O79" s="142"/>
    </x:row>
    <x:row r="80" ht="19" customHeight="1">
      <x:c r="A80" s="142"/>
      <x:c r="B80" s="142"/>
      <x:c r="C80" s="142"/>
      <x:c r="D80" s="142"/>
      <x:c r="E80" s="142"/>
      <x:c r="F80" s="142"/>
      <x:c r="G80" s="142"/>
      <x:c r="H80" s="142"/>
      <x:c r="I80" s="142"/>
      <x:c r="J80" s="208"/>
      <x:c r="K80" s="208"/>
      <x:c r="L80" s="208"/>
      <x:c r="M80" s="202" t="str">
        <x:f>IF(A80="","",IF(AND(K80&lt;&gt;"",L80&lt;&gt;""),IF(AND(TODAY()&gt;=K80,TODAY()&lt;=L80),"Ativo",IF(TODAY()&gt;L80,"Encerrado","Pendente")),IF(K80&lt;&gt;"","Sem prazo","Pendente")))</x:f>
      </x:c>
      <x:c r="N80" s="142"/>
      <x:c r="O80" s="142"/>
    </x:row>
    <x:row r="81" ht="19" customHeight="1">
      <x:c r="A81" s="142"/>
      <x:c r="B81" s="142"/>
      <x:c r="C81" s="142"/>
      <x:c r="D81" s="142"/>
      <x:c r="E81" s="142"/>
      <x:c r="F81" s="142"/>
      <x:c r="G81" s="142"/>
      <x:c r="H81" s="142"/>
      <x:c r="I81" s="142"/>
      <x:c r="J81" s="208"/>
      <x:c r="K81" s="208"/>
      <x:c r="L81" s="208"/>
      <x:c r="M81" s="202" t="str">
        <x:f>IF(A81="","",IF(AND(K81&lt;&gt;"",L81&lt;&gt;""),IF(AND(TODAY()&gt;=K81,TODAY()&lt;=L81),"Ativo",IF(TODAY()&gt;L81,"Encerrado","Pendente")),IF(K81&lt;&gt;"","Sem prazo","Pendente")))</x:f>
      </x:c>
      <x:c r="N81" s="142"/>
      <x:c r="O81" s="142"/>
    </x:row>
    <x:row r="82" ht="19" customHeight="1">
      <x:c r="A82" s="142"/>
      <x:c r="B82" s="142"/>
      <x:c r="C82" s="142"/>
      <x:c r="D82" s="142"/>
      <x:c r="E82" s="142"/>
      <x:c r="F82" s="142"/>
      <x:c r="G82" s="142"/>
      <x:c r="H82" s="142"/>
      <x:c r="I82" s="142"/>
      <x:c r="J82" s="208"/>
      <x:c r="K82" s="208"/>
      <x:c r="L82" s="208"/>
      <x:c r="M82" s="202" t="str">
        <x:f>IF(A82="","",IF(AND(K82&lt;&gt;"",L82&lt;&gt;""),IF(AND(TODAY()&gt;=K82,TODAY()&lt;=L82),"Ativo",IF(TODAY()&gt;L82,"Encerrado","Pendente")),IF(K82&lt;&gt;"","Sem prazo","Pendente")))</x:f>
      </x:c>
      <x:c r="N82" s="142"/>
      <x:c r="O82" s="142"/>
    </x:row>
    <x:row r="83" ht="19" customHeight="1">
      <x:c r="A83" s="142"/>
      <x:c r="B83" s="142"/>
      <x:c r="C83" s="142"/>
      <x:c r="D83" s="142"/>
      <x:c r="E83" s="142"/>
      <x:c r="F83" s="142"/>
      <x:c r="G83" s="142"/>
      <x:c r="H83" s="142"/>
      <x:c r="I83" s="142"/>
      <x:c r="J83" s="208"/>
      <x:c r="K83" s="208"/>
      <x:c r="L83" s="208"/>
      <x:c r="M83" s="202" t="str">
        <x:f>IF(A83="","",IF(AND(K83&lt;&gt;"",L83&lt;&gt;""),IF(AND(TODAY()&gt;=K83,TODAY()&lt;=L83),"Ativo",IF(TODAY()&gt;L83,"Encerrado","Pendente")),IF(K83&lt;&gt;"","Sem prazo","Pendente")))</x:f>
      </x:c>
      <x:c r="N83" s="142"/>
      <x:c r="O83" s="142"/>
    </x:row>
    <x:row r="84" ht="19" customHeight="1">
      <x:c r="A84" s="142"/>
      <x:c r="B84" s="142"/>
      <x:c r="C84" s="142"/>
      <x:c r="D84" s="142"/>
      <x:c r="E84" s="142"/>
      <x:c r="F84" s="142"/>
      <x:c r="G84" s="142"/>
      <x:c r="H84" s="142"/>
      <x:c r="I84" s="142"/>
      <x:c r="J84" s="208"/>
      <x:c r="K84" s="208"/>
      <x:c r="L84" s="208"/>
      <x:c r="M84" s="202" t="str">
        <x:f>IF(A84="","",IF(AND(K84&lt;&gt;"",L84&lt;&gt;""),IF(AND(TODAY()&gt;=K84,TODAY()&lt;=L84),"Ativo",IF(TODAY()&gt;L84,"Encerrado","Pendente")),IF(K84&lt;&gt;"","Sem prazo","Pendente")))</x:f>
      </x:c>
      <x:c r="N84" s="142"/>
      <x:c r="O84" s="142"/>
    </x:row>
    <x:row r="85" ht="19" customHeight="1">
      <x:c r="A85" s="142"/>
      <x:c r="B85" s="142"/>
      <x:c r="C85" s="142"/>
      <x:c r="D85" s="142"/>
      <x:c r="E85" s="142"/>
      <x:c r="F85" s="142"/>
      <x:c r="G85" s="142"/>
      <x:c r="H85" s="142"/>
      <x:c r="I85" s="142"/>
      <x:c r="J85" s="208"/>
      <x:c r="K85" s="208"/>
      <x:c r="L85" s="208"/>
      <x:c r="M85" s="202" t="str">
        <x:f>IF(A85="","",IF(AND(K85&lt;&gt;"",L85&lt;&gt;""),IF(AND(TODAY()&gt;=K85,TODAY()&lt;=L85),"Ativo",IF(TODAY()&gt;L85,"Encerrado","Pendente")),IF(K85&lt;&gt;"","Sem prazo","Pendente")))</x:f>
      </x:c>
      <x:c r="N85" s="142"/>
      <x:c r="O85" s="142"/>
    </x:row>
    <x:row r="86" ht="19" customHeight="1">
      <x:c r="A86" s="142"/>
      <x:c r="B86" s="142"/>
      <x:c r="C86" s="142"/>
      <x:c r="D86" s="142"/>
      <x:c r="E86" s="142"/>
      <x:c r="F86" s="142"/>
      <x:c r="G86" s="142"/>
      <x:c r="H86" s="142"/>
      <x:c r="I86" s="142"/>
      <x:c r="J86" s="208"/>
      <x:c r="K86" s="208"/>
      <x:c r="L86" s="208"/>
      <x:c r="M86" s="202" t="str">
        <x:f>IF(A86="","",IF(AND(K86&lt;&gt;"",L86&lt;&gt;""),IF(AND(TODAY()&gt;=K86,TODAY()&lt;=L86),"Ativo",IF(TODAY()&gt;L86,"Encerrado","Pendente")),IF(K86&lt;&gt;"","Sem prazo","Pendente")))</x:f>
      </x:c>
      <x:c r="N86" s="142"/>
      <x:c r="O86" s="142"/>
    </x:row>
    <x:row r="87" ht="19" customHeight="1">
      <x:c r="A87" s="142"/>
      <x:c r="B87" s="142"/>
      <x:c r="C87" s="142"/>
      <x:c r="D87" s="142"/>
      <x:c r="E87" s="142"/>
      <x:c r="F87" s="142"/>
      <x:c r="G87" s="142"/>
      <x:c r="H87" s="142"/>
      <x:c r="I87" s="142"/>
      <x:c r="J87" s="208"/>
      <x:c r="K87" s="208"/>
      <x:c r="L87" s="208"/>
      <x:c r="M87" s="202" t="str">
        <x:f>IF(A87="","",IF(AND(K87&lt;&gt;"",L87&lt;&gt;""),IF(AND(TODAY()&gt;=K87,TODAY()&lt;=L87),"Ativo",IF(TODAY()&gt;L87,"Encerrado","Pendente")),IF(K87&lt;&gt;"","Sem prazo","Pendente")))</x:f>
      </x:c>
      <x:c r="N87" s="142"/>
      <x:c r="O87" s="142"/>
    </x:row>
    <x:row r="88" ht="19" customHeight="1">
      <x:c r="A88" s="142"/>
      <x:c r="B88" s="142"/>
      <x:c r="C88" s="142"/>
      <x:c r="D88" s="142"/>
      <x:c r="E88" s="142"/>
      <x:c r="F88" s="142"/>
      <x:c r="G88" s="142"/>
      <x:c r="H88" s="142"/>
      <x:c r="I88" s="142"/>
      <x:c r="J88" s="208"/>
      <x:c r="K88" s="208"/>
      <x:c r="L88" s="208"/>
      <x:c r="M88" s="202" t="str">
        <x:f>IF(A88="","",IF(AND(K88&lt;&gt;"",L88&lt;&gt;""),IF(AND(TODAY()&gt;=K88,TODAY()&lt;=L88),"Ativo",IF(TODAY()&gt;L88,"Encerrado","Pendente")),IF(K88&lt;&gt;"","Sem prazo","Pendente")))</x:f>
      </x:c>
      <x:c r="N88" s="142"/>
      <x:c r="O88" s="142"/>
    </x:row>
    <x:row r="89" ht="19" customHeight="1">
      <x:c r="A89" s="142"/>
      <x:c r="B89" s="142"/>
      <x:c r="C89" s="142"/>
      <x:c r="D89" s="142"/>
      <x:c r="E89" s="142"/>
      <x:c r="F89" s="142"/>
      <x:c r="G89" s="142"/>
      <x:c r="H89" s="142"/>
      <x:c r="I89" s="142"/>
      <x:c r="J89" s="208"/>
      <x:c r="K89" s="208"/>
      <x:c r="L89" s="208"/>
      <x:c r="M89" s="202" t="str">
        <x:f>IF(A89="","",IF(AND(K89&lt;&gt;"",L89&lt;&gt;""),IF(AND(TODAY()&gt;=K89,TODAY()&lt;=L89),"Ativo",IF(TODAY()&gt;L89,"Encerrado","Pendente")),IF(K89&lt;&gt;"","Sem prazo","Pendente")))</x:f>
      </x:c>
      <x:c r="N89" s="142"/>
      <x:c r="O89" s="142"/>
    </x:row>
    <x:row r="90" ht="19" customHeight="1">
      <x:c r="A90" s="142"/>
      <x:c r="B90" s="142"/>
      <x:c r="C90" s="142"/>
      <x:c r="D90" s="142"/>
      <x:c r="E90" s="142"/>
      <x:c r="F90" s="142"/>
      <x:c r="G90" s="142"/>
      <x:c r="H90" s="142"/>
      <x:c r="I90" s="142"/>
      <x:c r="J90" s="208"/>
      <x:c r="K90" s="208"/>
      <x:c r="L90" s="208"/>
      <x:c r="M90" s="202" t="str">
        <x:f>IF(A90="","",IF(AND(K90&lt;&gt;"",L90&lt;&gt;""),IF(AND(TODAY()&gt;=K90,TODAY()&lt;=L90),"Ativo",IF(TODAY()&gt;L90,"Encerrado","Pendente")),IF(K90&lt;&gt;"","Sem prazo","Pendente")))</x:f>
      </x:c>
      <x:c r="N90" s="142"/>
      <x:c r="O90" s="142"/>
    </x:row>
    <x:row r="91" ht="19" customHeight="1">
      <x:c r="A91" s="142"/>
      <x:c r="B91" s="142"/>
      <x:c r="C91" s="142"/>
      <x:c r="D91" s="142"/>
      <x:c r="E91" s="142"/>
      <x:c r="F91" s="142"/>
      <x:c r="G91" s="142"/>
      <x:c r="H91" s="142"/>
      <x:c r="I91" s="142"/>
      <x:c r="J91" s="208"/>
      <x:c r="K91" s="208"/>
      <x:c r="L91" s="208"/>
      <x:c r="M91" s="202" t="str">
        <x:f>IF(A91="","",IF(AND(K91&lt;&gt;"",L91&lt;&gt;""),IF(AND(TODAY()&gt;=K91,TODAY()&lt;=L91),"Ativo",IF(TODAY()&gt;L91,"Encerrado","Pendente")),IF(K91&lt;&gt;"","Sem prazo","Pendente")))</x:f>
      </x:c>
      <x:c r="N91" s="142"/>
      <x:c r="O91" s="142"/>
    </x:row>
    <x:row r="92" ht="19" customHeight="1">
      <x:c r="A92" s="142"/>
      <x:c r="B92" s="142"/>
      <x:c r="C92" s="142"/>
      <x:c r="D92" s="142"/>
      <x:c r="E92" s="142"/>
      <x:c r="F92" s="142"/>
      <x:c r="G92" s="142"/>
      <x:c r="H92" s="142"/>
      <x:c r="I92" s="142"/>
      <x:c r="J92" s="208"/>
      <x:c r="K92" s="208"/>
      <x:c r="L92" s="208"/>
      <x:c r="M92" s="202" t="str">
        <x:f>IF(A92="","",IF(AND(K92&lt;&gt;"",L92&lt;&gt;""),IF(AND(TODAY()&gt;=K92,TODAY()&lt;=L92),"Ativo",IF(TODAY()&gt;L92,"Encerrado","Pendente")),IF(K92&lt;&gt;"","Sem prazo","Pendente")))</x:f>
      </x:c>
      <x:c r="N92" s="142"/>
      <x:c r="O92" s="142"/>
    </x:row>
    <x:row r="93" ht="19" customHeight="1">
      <x:c r="A93" s="142"/>
      <x:c r="B93" s="142"/>
      <x:c r="C93" s="142"/>
      <x:c r="D93" s="142"/>
      <x:c r="E93" s="142"/>
      <x:c r="F93" s="142"/>
      <x:c r="G93" s="142"/>
      <x:c r="H93" s="142"/>
      <x:c r="I93" s="142"/>
      <x:c r="J93" s="208"/>
      <x:c r="K93" s="208"/>
      <x:c r="L93" s="208"/>
      <x:c r="M93" s="202" t="str">
        <x:f>IF(A93="","",IF(AND(K93&lt;&gt;"",L93&lt;&gt;""),IF(AND(TODAY()&gt;=K93,TODAY()&lt;=L93),"Ativo",IF(TODAY()&gt;L93,"Encerrado","Pendente")),IF(K93&lt;&gt;"","Sem prazo","Pendente")))</x:f>
      </x:c>
      <x:c r="N93" s="142"/>
      <x:c r="O93" s="142"/>
    </x:row>
    <x:row r="94" ht="19" customHeight="1">
      <x:c r="A94" s="142"/>
      <x:c r="B94" s="142"/>
      <x:c r="C94" s="142"/>
      <x:c r="D94" s="142"/>
      <x:c r="E94" s="142"/>
      <x:c r="F94" s="142"/>
      <x:c r="G94" s="142"/>
      <x:c r="H94" s="142"/>
      <x:c r="I94" s="142"/>
      <x:c r="J94" s="208"/>
      <x:c r="K94" s="208"/>
      <x:c r="L94" s="208"/>
      <x:c r="M94" s="202" t="str">
        <x:f>IF(A94="","",IF(AND(K94&lt;&gt;"",L94&lt;&gt;""),IF(AND(TODAY()&gt;=K94,TODAY()&lt;=L94),"Ativo",IF(TODAY()&gt;L94,"Encerrado","Pendente")),IF(K94&lt;&gt;"","Sem prazo","Pendente")))</x:f>
      </x:c>
      <x:c r="N94" s="142"/>
      <x:c r="O94" s="142"/>
    </x:row>
    <x:row r="95" ht="19" customHeight="1">
      <x:c r="A95" s="142"/>
      <x:c r="B95" s="142"/>
      <x:c r="C95" s="142"/>
      <x:c r="D95" s="142"/>
      <x:c r="E95" s="142"/>
      <x:c r="F95" s="142"/>
      <x:c r="G95" s="142"/>
      <x:c r="H95" s="142"/>
      <x:c r="I95" s="142"/>
      <x:c r="J95" s="208"/>
      <x:c r="K95" s="208"/>
      <x:c r="L95" s="208"/>
      <x:c r="M95" s="202" t="str">
        <x:f>IF(A95="","",IF(AND(K95&lt;&gt;"",L95&lt;&gt;""),IF(AND(TODAY()&gt;=K95,TODAY()&lt;=L95),"Ativo",IF(TODAY()&gt;L95,"Encerrado","Pendente")),IF(K95&lt;&gt;"","Sem prazo","Pendente")))</x:f>
      </x:c>
      <x:c r="N95" s="142"/>
      <x:c r="O95" s="142"/>
    </x:row>
    <x:row r="96" ht="19" customHeight="1">
      <x:c r="A96" s="142"/>
      <x:c r="B96" s="142"/>
      <x:c r="C96" s="142"/>
      <x:c r="D96" s="142"/>
      <x:c r="E96" s="142"/>
      <x:c r="F96" s="142"/>
      <x:c r="G96" s="142"/>
      <x:c r="H96" s="142"/>
      <x:c r="I96" s="142"/>
      <x:c r="J96" s="208"/>
      <x:c r="K96" s="208"/>
      <x:c r="L96" s="208"/>
      <x:c r="M96" s="202" t="str">
        <x:f>IF(A96="","",IF(AND(K96&lt;&gt;"",L96&lt;&gt;""),IF(AND(TODAY()&gt;=K96,TODAY()&lt;=L96),"Ativo",IF(TODAY()&gt;L96,"Encerrado","Pendente")),IF(K96&lt;&gt;"","Sem prazo","Pendente")))</x:f>
      </x:c>
      <x:c r="N96" s="142"/>
      <x:c r="O96" s="142"/>
    </x:row>
    <x:row r="97" ht="19" customHeight="1">
      <x:c r="A97" s="142"/>
      <x:c r="B97" s="142"/>
      <x:c r="C97" s="142"/>
      <x:c r="D97" s="142"/>
      <x:c r="E97" s="142"/>
      <x:c r="F97" s="142"/>
      <x:c r="G97" s="142"/>
      <x:c r="H97" s="142"/>
      <x:c r="I97" s="142"/>
      <x:c r="J97" s="208"/>
      <x:c r="K97" s="208"/>
      <x:c r="L97" s="208"/>
      <x:c r="M97" s="202" t="str">
        <x:f>IF(A97="","",IF(AND(K97&lt;&gt;"",L97&lt;&gt;""),IF(AND(TODAY()&gt;=K97,TODAY()&lt;=L97),"Ativo",IF(TODAY()&gt;L97,"Encerrado","Pendente")),IF(K97&lt;&gt;"","Sem prazo","Pendente")))</x:f>
      </x:c>
      <x:c r="N97" s="142"/>
      <x:c r="O97" s="142"/>
    </x:row>
    <x:row r="98" ht="19" customHeight="1">
      <x:c r="A98" s="142"/>
      <x:c r="B98" s="142"/>
      <x:c r="C98" s="142"/>
      <x:c r="D98" s="142"/>
      <x:c r="E98" s="142"/>
      <x:c r="F98" s="142"/>
      <x:c r="G98" s="142"/>
      <x:c r="H98" s="142"/>
      <x:c r="I98" s="142"/>
      <x:c r="J98" s="208"/>
      <x:c r="K98" s="208"/>
      <x:c r="L98" s="208"/>
      <x:c r="M98" s="202" t="str">
        <x:f>IF(A98="","",IF(AND(K98&lt;&gt;"",L98&lt;&gt;""),IF(AND(TODAY()&gt;=K98,TODAY()&lt;=L98),"Ativo",IF(TODAY()&gt;L98,"Encerrado","Pendente")),IF(K98&lt;&gt;"","Sem prazo","Pendente")))</x:f>
      </x:c>
      <x:c r="N98" s="142"/>
      <x:c r="O98" s="142"/>
    </x:row>
    <x:row r="99" ht="19" customHeight="1">
      <x:c r="A99" s="142"/>
      <x:c r="B99" s="142"/>
      <x:c r="C99" s="142"/>
      <x:c r="D99" s="142"/>
      <x:c r="E99" s="142"/>
      <x:c r="F99" s="142"/>
      <x:c r="G99" s="142"/>
      <x:c r="H99" s="142"/>
      <x:c r="I99" s="142"/>
      <x:c r="J99" s="208"/>
      <x:c r="K99" s="208"/>
      <x:c r="L99" s="208"/>
      <x:c r="M99" s="202" t="str">
        <x:f>IF(A99="","",IF(AND(K99&lt;&gt;"",L99&lt;&gt;""),IF(AND(TODAY()&gt;=K99,TODAY()&lt;=L99),"Ativo",IF(TODAY()&gt;L99,"Encerrado","Pendente")),IF(K99&lt;&gt;"","Sem prazo","Pendente")))</x:f>
      </x:c>
      <x:c r="N99" s="142"/>
      <x:c r="O99" s="142"/>
    </x:row>
    <x:row r="100" ht="19" customHeight="1">
      <x:c r="A100" s="142"/>
      <x:c r="B100" s="142"/>
      <x:c r="C100" s="142"/>
      <x:c r="D100" s="142"/>
      <x:c r="E100" s="142"/>
      <x:c r="F100" s="142"/>
      <x:c r="G100" s="142"/>
      <x:c r="H100" s="142"/>
      <x:c r="I100" s="142"/>
      <x:c r="J100" s="208"/>
      <x:c r="K100" s="208"/>
      <x:c r="L100" s="208"/>
      <x:c r="M100" s="202" t="str">
        <x:f>IF(A100="","",IF(AND(K100&lt;&gt;"",L100&lt;&gt;""),IF(AND(TODAY()&gt;=K100,TODAY()&lt;=L100),"Ativo",IF(TODAY()&gt;L100,"Encerrado","Pendente")),IF(K100&lt;&gt;"","Sem prazo","Pendente")))</x:f>
      </x:c>
      <x:c r="N100" s="142"/>
      <x:c r="O100" s="142"/>
    </x:row>
    <x:row r="101" ht="19" customHeight="1">
      <x:c r="A101" s="142"/>
      <x:c r="B101" s="142"/>
      <x:c r="C101" s="142"/>
      <x:c r="D101" s="142"/>
      <x:c r="E101" s="142"/>
      <x:c r="F101" s="142"/>
      <x:c r="G101" s="142"/>
      <x:c r="H101" s="142"/>
      <x:c r="I101" s="142"/>
      <x:c r="J101" s="208"/>
      <x:c r="K101" s="208"/>
      <x:c r="L101" s="208"/>
      <x:c r="M101" s="202" t="str">
        <x:f>IF(A101="","",IF(AND(K101&lt;&gt;"",L101&lt;&gt;""),IF(AND(TODAY()&gt;=K101,TODAY()&lt;=L101),"Ativo",IF(TODAY()&gt;L101,"Encerrado","Pendente")),IF(K101&lt;&gt;"","Sem prazo","Pendente")))</x:f>
      </x:c>
      <x:c r="N101" s="142"/>
      <x:c r="O101" s="142"/>
    </x:row>
    <x:row r="102" ht="19" customHeight="1">
      <x:c r="A102" s="142"/>
      <x:c r="B102" s="142"/>
      <x:c r="C102" s="142"/>
      <x:c r="D102" s="142"/>
      <x:c r="E102" s="142"/>
      <x:c r="F102" s="142"/>
      <x:c r="G102" s="142"/>
      <x:c r="H102" s="142"/>
      <x:c r="I102" s="142"/>
      <x:c r="J102" s="208"/>
      <x:c r="K102" s="208"/>
      <x:c r="L102" s="208"/>
      <x:c r="M102" s="202" t="str">
        <x:f>IF(A102="","",IF(AND(K102&lt;&gt;"",L102&lt;&gt;""),IF(AND(TODAY()&gt;=K102,TODAY()&lt;=L102),"Ativo",IF(TODAY()&gt;L102,"Encerrado","Pendente")),IF(K102&lt;&gt;"","Sem prazo","Pendente")))</x:f>
      </x:c>
      <x:c r="N102" s="142"/>
      <x:c r="O102" s="142"/>
    </x:row>
    <x:row r="103" ht="19" customHeight="1">
      <x:c r="A103" s="142"/>
      <x:c r="B103" s="142"/>
      <x:c r="C103" s="142"/>
      <x:c r="D103" s="142"/>
      <x:c r="E103" s="142"/>
      <x:c r="F103" s="142"/>
      <x:c r="G103" s="142"/>
      <x:c r="H103" s="142"/>
      <x:c r="I103" s="142"/>
      <x:c r="J103" s="208"/>
      <x:c r="K103" s="208"/>
      <x:c r="L103" s="208"/>
      <x:c r="M103" s="202" t="str">
        <x:f>IF(A103="","",IF(AND(K103&lt;&gt;"",L103&lt;&gt;""),IF(AND(TODAY()&gt;=K103,TODAY()&lt;=L103),"Ativo",IF(TODAY()&gt;L103,"Encerrado","Pendente")),IF(K103&lt;&gt;"","Sem prazo","Pendente")))</x:f>
      </x:c>
      <x:c r="N103" s="142"/>
      <x:c r="O103" s="142"/>
    </x:row>
    <x:row r="104" ht="19" customHeight="1">
      <x:c r="A104" s="142"/>
      <x:c r="B104" s="142"/>
      <x:c r="C104" s="142"/>
      <x:c r="D104" s="142"/>
      <x:c r="E104" s="142"/>
      <x:c r="F104" s="142"/>
      <x:c r="G104" s="142"/>
      <x:c r="H104" s="142"/>
      <x:c r="I104" s="142"/>
      <x:c r="J104" s="208"/>
      <x:c r="K104" s="208"/>
      <x:c r="L104" s="208"/>
      <x:c r="M104" s="202" t="str">
        <x:f>IF(A104="","",IF(AND(K104&lt;&gt;"",L104&lt;&gt;""),IF(AND(TODAY()&gt;=K104,TODAY()&lt;=L104),"Ativo",IF(TODAY()&gt;L104,"Encerrado","Pendente")),IF(K104&lt;&gt;"","Sem prazo","Pendente")))</x:f>
      </x:c>
      <x:c r="N104" s="142"/>
      <x:c r="O104" s="142"/>
    </x:row>
    <x:row r="105" ht="19" customHeight="1">
      <x:c r="A105" s="142"/>
      <x:c r="B105" s="142"/>
      <x:c r="C105" s="142"/>
      <x:c r="D105" s="142"/>
      <x:c r="E105" s="142"/>
      <x:c r="F105" s="142"/>
      <x:c r="G105" s="142"/>
      <x:c r="H105" s="142"/>
      <x:c r="I105" s="142"/>
      <x:c r="J105" s="208"/>
      <x:c r="K105" s="208"/>
      <x:c r="L105" s="208"/>
      <x:c r="M105" s="202" t="str">
        <x:f>IF(A105="","",IF(AND(K105&lt;&gt;"",L105&lt;&gt;""),IF(AND(TODAY()&gt;=K105,TODAY()&lt;=L105),"Ativo",IF(TODAY()&gt;L105,"Encerrado","Pendente")),IF(K105&lt;&gt;"","Sem prazo","Pendente")))</x:f>
      </x:c>
      <x:c r="N105" s="142"/>
      <x:c r="O105" s="142"/>
    </x:row>
    <x:row r="106" ht="19" customHeight="1">
      <x:c r="A106" s="142"/>
      <x:c r="B106" s="142"/>
      <x:c r="C106" s="142"/>
      <x:c r="D106" s="142"/>
      <x:c r="E106" s="142"/>
      <x:c r="F106" s="142"/>
      <x:c r="G106" s="142"/>
      <x:c r="H106" s="142"/>
      <x:c r="I106" s="142"/>
      <x:c r="J106" s="208"/>
      <x:c r="K106" s="208"/>
      <x:c r="L106" s="208"/>
      <x:c r="M106" s="202" t="str">
        <x:f>IF(A106="","",IF(AND(K106&lt;&gt;"",L106&lt;&gt;""),IF(AND(TODAY()&gt;=K106,TODAY()&lt;=L106),"Ativo",IF(TODAY()&gt;L106,"Encerrado","Pendente")),IF(K106&lt;&gt;"","Sem prazo","Pendente")))</x:f>
      </x:c>
      <x:c r="N106" s="142"/>
      <x:c r="O106" s="142"/>
    </x:row>
    <x:row r="107" ht="19" customHeight="1">
      <x:c r="A107" s="142"/>
      <x:c r="B107" s="142"/>
      <x:c r="C107" s="142"/>
      <x:c r="D107" s="142"/>
      <x:c r="E107" s="142"/>
      <x:c r="F107" s="142"/>
      <x:c r="G107" s="142"/>
      <x:c r="H107" s="142"/>
      <x:c r="I107" s="142"/>
      <x:c r="J107" s="208"/>
      <x:c r="K107" s="208"/>
      <x:c r="L107" s="208"/>
      <x:c r="M107" s="202" t="str">
        <x:f>IF(A107="","",IF(AND(K107&lt;&gt;"",L107&lt;&gt;""),IF(AND(TODAY()&gt;=K107,TODAY()&lt;=L107),"Ativo",IF(TODAY()&gt;L107,"Encerrado","Pendente")),IF(K107&lt;&gt;"","Sem prazo","Pendente")))</x:f>
      </x:c>
      <x:c r="N107" s="142"/>
      <x:c r="O107" s="142"/>
    </x:row>
    <x:row r="108" ht="19" customHeight="1">
      <x:c r="A108" s="142"/>
      <x:c r="B108" s="142"/>
      <x:c r="C108" s="142"/>
      <x:c r="D108" s="142"/>
      <x:c r="E108" s="142"/>
      <x:c r="F108" s="142"/>
      <x:c r="G108" s="142"/>
      <x:c r="H108" s="142"/>
      <x:c r="I108" s="142"/>
      <x:c r="J108" s="208"/>
      <x:c r="K108" s="208"/>
      <x:c r="L108" s="208"/>
      <x:c r="M108" s="202" t="str">
        <x:f>IF(A108="","",IF(AND(K108&lt;&gt;"",L108&lt;&gt;""),IF(AND(TODAY()&gt;=K108,TODAY()&lt;=L108),"Ativo",IF(TODAY()&gt;L108,"Encerrado","Pendente")),IF(K108&lt;&gt;"","Sem prazo","Pendente")))</x:f>
      </x:c>
      <x:c r="N108" s="142"/>
      <x:c r="O108" s="142"/>
    </x:row>
    <x:row r="109" ht="19" customHeight="1">
      <x:c r="A109" s="142"/>
      <x:c r="B109" s="142"/>
      <x:c r="C109" s="142"/>
      <x:c r="D109" s="142"/>
      <x:c r="E109" s="142"/>
      <x:c r="F109" s="142"/>
      <x:c r="G109" s="142"/>
      <x:c r="H109" s="142"/>
      <x:c r="I109" s="142"/>
      <x:c r="J109" s="208"/>
      <x:c r="K109" s="208"/>
      <x:c r="L109" s="208"/>
      <x:c r="M109" s="202" t="str">
        <x:f>IF(A109="","",IF(AND(K109&lt;&gt;"",L109&lt;&gt;""),IF(AND(TODAY()&gt;=K109,TODAY()&lt;=L109),"Ativo",IF(TODAY()&gt;L109,"Encerrado","Pendente")),IF(K109&lt;&gt;"","Sem prazo","Pendente")))</x:f>
      </x:c>
      <x:c r="N109" s="142"/>
      <x:c r="O109" s="142"/>
    </x:row>
    <x:row r="110" ht="19" customHeight="1">
      <x:c r="A110" s="142"/>
      <x:c r="B110" s="142"/>
      <x:c r="C110" s="142"/>
      <x:c r="D110" s="142"/>
      <x:c r="E110" s="142"/>
      <x:c r="F110" s="142"/>
      <x:c r="G110" s="142"/>
      <x:c r="H110" s="142"/>
      <x:c r="I110" s="142"/>
      <x:c r="J110" s="208"/>
      <x:c r="K110" s="208"/>
      <x:c r="L110" s="208"/>
      <x:c r="M110" s="202" t="str">
        <x:f>IF(A110="","",IF(AND(K110&lt;&gt;"",L110&lt;&gt;""),IF(AND(TODAY()&gt;=K110,TODAY()&lt;=L110),"Ativo",IF(TODAY()&gt;L110,"Encerrado","Pendente")),IF(K110&lt;&gt;"","Sem prazo","Pendente")))</x:f>
      </x:c>
      <x:c r="N110" s="142"/>
      <x:c r="O110" s="142"/>
    </x:row>
    <x:row r="111" ht="19" customHeight="1">
      <x:c r="A111" s="142"/>
      <x:c r="B111" s="142"/>
      <x:c r="C111" s="142"/>
      <x:c r="D111" s="142"/>
      <x:c r="E111" s="142"/>
      <x:c r="F111" s="142"/>
      <x:c r="G111" s="142"/>
      <x:c r="H111" s="142"/>
      <x:c r="I111" s="142"/>
      <x:c r="J111" s="208"/>
      <x:c r="K111" s="208"/>
      <x:c r="L111" s="208"/>
      <x:c r="M111" s="202" t="str">
        <x:f>IF(A111="","",IF(AND(K111&lt;&gt;"",L111&lt;&gt;""),IF(AND(TODAY()&gt;=K111,TODAY()&lt;=L111),"Ativo",IF(TODAY()&gt;L111,"Encerrado","Pendente")),IF(K111&lt;&gt;"","Sem prazo","Pendente")))</x:f>
      </x:c>
      <x:c r="N111" s="142"/>
      <x:c r="O111" s="142"/>
    </x:row>
    <x:row r="112" ht="19" customHeight="1">
      <x:c r="A112" s="142"/>
      <x:c r="B112" s="142"/>
      <x:c r="C112" s="142"/>
      <x:c r="D112" s="142"/>
      <x:c r="E112" s="142"/>
      <x:c r="F112" s="142"/>
      <x:c r="G112" s="142"/>
      <x:c r="H112" s="142"/>
      <x:c r="I112" s="142"/>
      <x:c r="J112" s="208"/>
      <x:c r="K112" s="208"/>
      <x:c r="L112" s="208"/>
      <x:c r="M112" s="202" t="str">
        <x:f>IF(A112="","",IF(AND(K112&lt;&gt;"",L112&lt;&gt;""),IF(AND(TODAY()&gt;=K112,TODAY()&lt;=L112),"Ativo",IF(TODAY()&gt;L112,"Encerrado","Pendente")),IF(K112&lt;&gt;"","Sem prazo","Pendente")))</x:f>
      </x:c>
      <x:c r="N112" s="142"/>
      <x:c r="O112" s="142"/>
    </x:row>
    <x:row r="113" ht="19" customHeight="1">
      <x:c r="A113" s="142"/>
      <x:c r="B113" s="142"/>
      <x:c r="C113" s="142"/>
      <x:c r="D113" s="142"/>
      <x:c r="E113" s="142"/>
      <x:c r="F113" s="142"/>
      <x:c r="G113" s="142"/>
      <x:c r="H113" s="142"/>
      <x:c r="I113" s="142"/>
      <x:c r="J113" s="208"/>
      <x:c r="K113" s="208"/>
      <x:c r="L113" s="208"/>
      <x:c r="M113" s="202" t="str">
        <x:f>IF(A113="","",IF(AND(K113&lt;&gt;"",L113&lt;&gt;""),IF(AND(TODAY()&gt;=K113,TODAY()&lt;=L113),"Ativo",IF(TODAY()&gt;L113,"Encerrado","Pendente")),IF(K113&lt;&gt;"","Sem prazo","Pendente")))</x:f>
      </x:c>
      <x:c r="N113" s="142"/>
      <x:c r="O113" s="142"/>
    </x:row>
    <x:row r="114" ht="19" customHeight="1">
      <x:c r="A114" s="142"/>
      <x:c r="B114" s="142"/>
      <x:c r="C114" s="142"/>
      <x:c r="D114" s="142"/>
      <x:c r="E114" s="142"/>
      <x:c r="F114" s="142"/>
      <x:c r="G114" s="142"/>
      <x:c r="H114" s="142"/>
      <x:c r="I114" s="142"/>
      <x:c r="J114" s="208"/>
      <x:c r="K114" s="208"/>
      <x:c r="L114" s="208"/>
      <x:c r="M114" s="202" t="str">
        <x:f>IF(A114="","",IF(AND(K114&lt;&gt;"",L114&lt;&gt;""),IF(AND(TODAY()&gt;=K114,TODAY()&lt;=L114),"Ativo",IF(TODAY()&gt;L114,"Encerrado","Pendente")),IF(K114&lt;&gt;"","Sem prazo","Pendente")))</x:f>
      </x:c>
      <x:c r="N114" s="142"/>
      <x:c r="O114" s="142"/>
    </x:row>
    <x:row r="115" ht="19" customHeight="1">
      <x:c r="A115" s="142"/>
      <x:c r="B115" s="142"/>
      <x:c r="C115" s="142"/>
      <x:c r="D115" s="142"/>
      <x:c r="E115" s="142"/>
      <x:c r="F115" s="142"/>
      <x:c r="G115" s="142"/>
      <x:c r="H115" s="142"/>
      <x:c r="I115" s="142"/>
      <x:c r="J115" s="208"/>
      <x:c r="K115" s="208"/>
      <x:c r="L115" s="208"/>
      <x:c r="M115" s="202" t="str">
        <x:f>IF(A115="","",IF(AND(K115&lt;&gt;"",L115&lt;&gt;""),IF(AND(TODAY()&gt;=K115,TODAY()&lt;=L115),"Ativo",IF(TODAY()&gt;L115,"Encerrado","Pendente")),IF(K115&lt;&gt;"","Sem prazo","Pendente")))</x:f>
      </x:c>
      <x:c r="N115" s="142"/>
      <x:c r="O115" s="142"/>
    </x:row>
    <x:row r="116" ht="19" customHeight="1">
      <x:c r="A116" s="142"/>
      <x:c r="B116" s="142"/>
      <x:c r="C116" s="142"/>
      <x:c r="D116" s="142"/>
      <x:c r="E116" s="142"/>
      <x:c r="F116" s="142"/>
      <x:c r="G116" s="142"/>
      <x:c r="H116" s="142"/>
      <x:c r="I116" s="142"/>
      <x:c r="J116" s="208"/>
      <x:c r="K116" s="208"/>
      <x:c r="L116" s="208"/>
      <x:c r="M116" s="202" t="str">
        <x:f>IF(A116="","",IF(AND(K116&lt;&gt;"",L116&lt;&gt;""),IF(AND(TODAY()&gt;=K116,TODAY()&lt;=L116),"Ativo",IF(TODAY()&gt;L116,"Encerrado","Pendente")),IF(K116&lt;&gt;"","Sem prazo","Pendente")))</x:f>
      </x:c>
      <x:c r="N116" s="142"/>
      <x:c r="O116" s="142"/>
    </x:row>
    <x:row r="117" ht="19" customHeight="1">
      <x:c r="A117" s="142"/>
      <x:c r="B117" s="142"/>
      <x:c r="C117" s="142"/>
      <x:c r="D117" s="142"/>
      <x:c r="E117" s="142"/>
      <x:c r="F117" s="142"/>
      <x:c r="G117" s="142"/>
      <x:c r="H117" s="142"/>
      <x:c r="I117" s="142"/>
      <x:c r="J117" s="208"/>
      <x:c r="K117" s="208"/>
      <x:c r="L117" s="208"/>
      <x:c r="M117" s="202" t="str">
        <x:f>IF(A117="","",IF(AND(K117&lt;&gt;"",L117&lt;&gt;""),IF(AND(TODAY()&gt;=K117,TODAY()&lt;=L117),"Ativo",IF(TODAY()&gt;L117,"Encerrado","Pendente")),IF(K117&lt;&gt;"","Sem prazo","Pendente")))</x:f>
      </x:c>
      <x:c r="N117" s="142"/>
      <x:c r="O117" s="142"/>
    </x:row>
    <x:row r="118" ht="19" customHeight="1">
      <x:c r="A118" s="142"/>
      <x:c r="B118" s="142"/>
      <x:c r="C118" s="142"/>
      <x:c r="D118" s="142"/>
      <x:c r="E118" s="142"/>
      <x:c r="F118" s="142"/>
      <x:c r="G118" s="142"/>
      <x:c r="H118" s="142"/>
      <x:c r="I118" s="142"/>
      <x:c r="J118" s="208"/>
      <x:c r="K118" s="208"/>
      <x:c r="L118" s="208"/>
      <x:c r="M118" s="202" t="str">
        <x:f>IF(A118="","",IF(AND(K118&lt;&gt;"",L118&lt;&gt;""),IF(AND(TODAY()&gt;=K118,TODAY()&lt;=L118),"Ativo",IF(TODAY()&gt;L118,"Encerrado","Pendente")),IF(K118&lt;&gt;"","Sem prazo","Pendente")))</x:f>
      </x:c>
      <x:c r="N118" s="142"/>
      <x:c r="O118" s="142"/>
    </x:row>
    <x:row r="119" ht="19" customHeight="1">
      <x:c r="A119" s="142"/>
      <x:c r="B119" s="142"/>
      <x:c r="C119" s="142"/>
      <x:c r="D119" s="142"/>
      <x:c r="E119" s="142"/>
      <x:c r="F119" s="142"/>
      <x:c r="G119" s="142"/>
      <x:c r="H119" s="142"/>
      <x:c r="I119" s="142"/>
      <x:c r="J119" s="208"/>
      <x:c r="K119" s="208"/>
      <x:c r="L119" s="208"/>
      <x:c r="M119" s="202" t="str">
        <x:f>IF(A119="","",IF(AND(K119&lt;&gt;"",L119&lt;&gt;""),IF(AND(TODAY()&gt;=K119,TODAY()&lt;=L119),"Ativo",IF(TODAY()&gt;L119,"Encerrado","Pendente")),IF(K119&lt;&gt;"","Sem prazo","Pendente")))</x:f>
      </x:c>
      <x:c r="N119" s="142"/>
      <x:c r="O119" s="142"/>
    </x:row>
    <x:row r="120" ht="19" customHeight="1">
      <x:c r="A120" s="142"/>
      <x:c r="B120" s="142"/>
      <x:c r="C120" s="142"/>
      <x:c r="D120" s="142"/>
      <x:c r="E120" s="142"/>
      <x:c r="F120" s="142"/>
      <x:c r="G120" s="142"/>
      <x:c r="H120" s="142"/>
      <x:c r="I120" s="142"/>
      <x:c r="J120" s="208"/>
      <x:c r="K120" s="208"/>
      <x:c r="L120" s="208"/>
      <x:c r="M120" s="202" t="str">
        <x:f>IF(A120="","",IF(AND(K120&lt;&gt;"",L120&lt;&gt;""),IF(AND(TODAY()&gt;=K120,TODAY()&lt;=L120),"Ativo",IF(TODAY()&gt;L120,"Encerrado","Pendente")),IF(K120&lt;&gt;"","Sem prazo","Pendente")))</x:f>
      </x:c>
      <x:c r="N120" s="142"/>
      <x:c r="O120" s="142"/>
    </x:row>
    <x:row r="121" ht="19" customHeight="1">
      <x:c r="A121" s="142"/>
      <x:c r="B121" s="142"/>
      <x:c r="C121" s="142"/>
      <x:c r="D121" s="142"/>
      <x:c r="E121" s="142"/>
      <x:c r="F121" s="142"/>
      <x:c r="G121" s="142"/>
      <x:c r="H121" s="142"/>
      <x:c r="I121" s="142"/>
      <x:c r="J121" s="208"/>
      <x:c r="K121" s="208"/>
      <x:c r="L121" s="208"/>
      <x:c r="M121" s="202" t="str">
        <x:f>IF(A121="","",IF(AND(K121&lt;&gt;"",L121&lt;&gt;""),IF(AND(TODAY()&gt;=K121,TODAY()&lt;=L121),"Ativo",IF(TODAY()&gt;L121,"Encerrado","Pendente")),IF(K121&lt;&gt;"","Sem prazo","Pendente")))</x:f>
      </x:c>
      <x:c r="N121" s="142"/>
      <x:c r="O121" s="142"/>
    </x:row>
    <x:row r="122" ht="19" customHeight="1">
      <x:c r="A122" s="142"/>
      <x:c r="B122" s="142"/>
      <x:c r="C122" s="142"/>
      <x:c r="D122" s="142"/>
      <x:c r="E122" s="142"/>
      <x:c r="F122" s="142"/>
      <x:c r="G122" s="142"/>
      <x:c r="H122" s="142"/>
      <x:c r="I122" s="142"/>
      <x:c r="J122" s="208"/>
      <x:c r="K122" s="208"/>
      <x:c r="L122" s="208"/>
      <x:c r="M122" s="202" t="str">
        <x:f>IF(A122="","",IF(AND(K122&lt;&gt;"",L122&lt;&gt;""),IF(AND(TODAY()&gt;=K122,TODAY()&lt;=L122),"Ativo",IF(TODAY()&gt;L122,"Encerrado","Pendente")),IF(K122&lt;&gt;"","Sem prazo","Pendente")))</x:f>
      </x:c>
      <x:c r="N122" s="142"/>
      <x:c r="O122" s="142"/>
    </x:row>
    <x:row r="123" ht="19" customHeight="1">
      <x:c r="A123" s="142"/>
      <x:c r="B123" s="142"/>
      <x:c r="C123" s="142"/>
      <x:c r="D123" s="142"/>
      <x:c r="E123" s="142"/>
      <x:c r="F123" s="142"/>
      <x:c r="G123" s="142"/>
      <x:c r="H123" s="142"/>
      <x:c r="I123" s="142"/>
      <x:c r="J123" s="208"/>
      <x:c r="K123" s="208"/>
      <x:c r="L123" s="208"/>
      <x:c r="M123" s="202" t="str">
        <x:f>IF(A123="","",IF(AND(K123&lt;&gt;"",L123&lt;&gt;""),IF(AND(TODAY()&gt;=K123,TODAY()&lt;=L123),"Ativo",IF(TODAY()&gt;L123,"Encerrado","Pendente")),IF(K123&lt;&gt;"","Sem prazo","Pendente")))</x:f>
      </x:c>
      <x:c r="N123" s="142"/>
      <x:c r="O123" s="142"/>
    </x:row>
    <x:row r="124" ht="19" customHeight="1">
      <x:c r="A124" s="142"/>
      <x:c r="B124" s="142"/>
      <x:c r="C124" s="142"/>
      <x:c r="D124" s="142"/>
      <x:c r="E124" s="142"/>
      <x:c r="F124" s="142"/>
      <x:c r="G124" s="142"/>
      <x:c r="H124" s="142"/>
      <x:c r="I124" s="142"/>
      <x:c r="J124" s="208"/>
      <x:c r="K124" s="208"/>
      <x:c r="L124" s="208"/>
      <x:c r="M124" s="202" t="str">
        <x:f>IF(A124="","",IF(AND(K124&lt;&gt;"",L124&lt;&gt;""),IF(AND(TODAY()&gt;=K124,TODAY()&lt;=L124),"Ativo",IF(TODAY()&gt;L124,"Encerrado","Pendente")),IF(K124&lt;&gt;"","Sem prazo","Pendente")))</x:f>
      </x:c>
      <x:c r="N124" s="142"/>
      <x:c r="O124" s="142"/>
    </x:row>
    <x:row r="125" ht="19" customHeight="1">
      <x:c r="A125" s="142"/>
      <x:c r="B125" s="142"/>
      <x:c r="C125" s="142"/>
      <x:c r="D125" s="142"/>
      <x:c r="E125" s="142"/>
      <x:c r="F125" s="142"/>
      <x:c r="G125" s="142"/>
      <x:c r="H125" s="142"/>
      <x:c r="I125" s="142"/>
      <x:c r="J125" s="208"/>
      <x:c r="K125" s="208"/>
      <x:c r="L125" s="208"/>
      <x:c r="M125" s="202" t="str">
        <x:f>IF(A125="","",IF(AND(K125&lt;&gt;"",L125&lt;&gt;""),IF(AND(TODAY()&gt;=K125,TODAY()&lt;=L125),"Ativo",IF(TODAY()&gt;L125,"Encerrado","Pendente")),IF(K125&lt;&gt;"","Sem prazo","Pendente")))</x:f>
      </x:c>
      <x:c r="N125" s="142"/>
      <x:c r="O125" s="142"/>
    </x:row>
    <x:row r="126" ht="19" customHeight="1">
      <x:c r="A126" s="142"/>
      <x:c r="B126" s="142"/>
      <x:c r="C126" s="142"/>
      <x:c r="D126" s="142"/>
      <x:c r="E126" s="142"/>
      <x:c r="F126" s="142"/>
      <x:c r="G126" s="142"/>
      <x:c r="H126" s="142"/>
      <x:c r="I126" s="142"/>
      <x:c r="J126" s="208"/>
      <x:c r="K126" s="208"/>
      <x:c r="L126" s="208"/>
      <x:c r="M126" s="202" t="str">
        <x:f>IF(A126="","",IF(AND(K126&lt;&gt;"",L126&lt;&gt;""),IF(AND(TODAY()&gt;=K126,TODAY()&lt;=L126),"Ativo",IF(TODAY()&gt;L126,"Encerrado","Pendente")),IF(K126&lt;&gt;"","Sem prazo","Pendente")))</x:f>
      </x:c>
      <x:c r="N126" s="142"/>
      <x:c r="O126" s="142"/>
    </x:row>
    <x:row r="127" ht="19" customHeight="1">
      <x:c r="A127" s="142"/>
      <x:c r="B127" s="142"/>
      <x:c r="C127" s="142"/>
      <x:c r="D127" s="142"/>
      <x:c r="E127" s="142"/>
      <x:c r="F127" s="142"/>
      <x:c r="G127" s="142"/>
      <x:c r="H127" s="142"/>
      <x:c r="I127" s="142"/>
      <x:c r="J127" s="208"/>
      <x:c r="K127" s="208"/>
      <x:c r="L127" s="208"/>
      <x:c r="M127" s="202" t="str">
        <x:f>IF(A127="","",IF(AND(K127&lt;&gt;"",L127&lt;&gt;""),IF(AND(TODAY()&gt;=K127,TODAY()&lt;=L127),"Ativo",IF(TODAY()&gt;L127,"Encerrado","Pendente")),IF(K127&lt;&gt;"","Sem prazo","Pendente")))</x:f>
      </x:c>
      <x:c r="N127" s="142"/>
      <x:c r="O127" s="142"/>
    </x:row>
    <x:row r="128" ht="19" customHeight="1">
      <x:c r="A128" s="142"/>
      <x:c r="B128" s="142"/>
      <x:c r="C128" s="142"/>
      <x:c r="D128" s="142"/>
      <x:c r="E128" s="142"/>
      <x:c r="F128" s="142"/>
      <x:c r="G128" s="142"/>
      <x:c r="H128" s="142"/>
      <x:c r="I128" s="142"/>
      <x:c r="J128" s="208"/>
      <x:c r="K128" s="208"/>
      <x:c r="L128" s="208"/>
      <x:c r="M128" s="202" t="str">
        <x:f>IF(A128="","",IF(AND(K128&lt;&gt;"",L128&lt;&gt;""),IF(AND(TODAY()&gt;=K128,TODAY()&lt;=L128),"Ativo",IF(TODAY()&gt;L128,"Encerrado","Pendente")),IF(K128&lt;&gt;"","Sem prazo","Pendente")))</x:f>
      </x:c>
      <x:c r="N128" s="142"/>
      <x:c r="O128" s="142"/>
    </x:row>
    <x:row r="129" ht="19" customHeight="1">
      <x:c r="A129" s="142"/>
      <x:c r="B129" s="142"/>
      <x:c r="C129" s="142"/>
      <x:c r="D129" s="142"/>
      <x:c r="E129" s="142"/>
      <x:c r="F129" s="142"/>
      <x:c r="G129" s="142"/>
      <x:c r="H129" s="142"/>
      <x:c r="I129" s="142"/>
      <x:c r="J129" s="208"/>
      <x:c r="K129" s="208"/>
      <x:c r="L129" s="208"/>
      <x:c r="M129" s="202" t="str">
        <x:f>IF(A129="","",IF(AND(K129&lt;&gt;"",L129&lt;&gt;""),IF(AND(TODAY()&gt;=K129,TODAY()&lt;=L129),"Ativo",IF(TODAY()&gt;L129,"Encerrado","Pendente")),IF(K129&lt;&gt;"","Sem prazo","Pendente")))</x:f>
      </x:c>
      <x:c r="N129" s="142"/>
      <x:c r="O129" s="142"/>
    </x:row>
    <x:row r="130" ht="19" customHeight="1">
      <x:c r="A130" s="142"/>
      <x:c r="B130" s="142"/>
      <x:c r="C130" s="142"/>
      <x:c r="D130" s="142"/>
      <x:c r="E130" s="142"/>
      <x:c r="F130" s="142"/>
      <x:c r="G130" s="142"/>
      <x:c r="H130" s="142"/>
      <x:c r="I130" s="142"/>
      <x:c r="J130" s="208"/>
      <x:c r="K130" s="208"/>
      <x:c r="L130" s="208"/>
      <x:c r="M130" s="202" t="str">
        <x:f>IF(A130="","",IF(AND(K130&lt;&gt;"",L130&lt;&gt;""),IF(AND(TODAY()&gt;=K130,TODAY()&lt;=L130),"Ativo",IF(TODAY()&gt;L130,"Encerrado","Pendente")),IF(K130&lt;&gt;"","Sem prazo","Pendente")))</x:f>
      </x:c>
      <x:c r="N130" s="142"/>
      <x:c r="O130" s="142"/>
    </x:row>
    <x:row r="131" ht="19" customHeight="1">
      <x:c r="A131" s="142"/>
      <x:c r="B131" s="142"/>
      <x:c r="C131" s="142"/>
      <x:c r="D131" s="142"/>
      <x:c r="E131" s="142"/>
      <x:c r="F131" s="142"/>
      <x:c r="G131" s="142"/>
      <x:c r="H131" s="142"/>
      <x:c r="I131" s="142"/>
      <x:c r="J131" s="208"/>
      <x:c r="K131" s="208"/>
      <x:c r="L131" s="208"/>
      <x:c r="M131" s="202" t="str">
        <x:f>IF(A131="","",IF(AND(K131&lt;&gt;"",L131&lt;&gt;""),IF(AND(TODAY()&gt;=K131,TODAY()&lt;=L131),"Ativo",IF(TODAY()&gt;L131,"Encerrado","Pendente")),IF(K131&lt;&gt;"","Sem prazo","Pendente")))</x:f>
      </x:c>
      <x:c r="N131" s="142"/>
      <x:c r="O131" s="142"/>
    </x:row>
    <x:row r="132" ht="19" customHeight="1">
      <x:c r="A132" s="142"/>
      <x:c r="B132" s="142"/>
      <x:c r="C132" s="142"/>
      <x:c r="D132" s="142"/>
      <x:c r="E132" s="142"/>
      <x:c r="F132" s="142"/>
      <x:c r="G132" s="142"/>
      <x:c r="H132" s="142"/>
      <x:c r="I132" s="142"/>
      <x:c r="J132" s="208"/>
      <x:c r="K132" s="208"/>
      <x:c r="L132" s="208"/>
      <x:c r="M132" s="202" t="str">
        <x:f>IF(A132="","",IF(AND(K132&lt;&gt;"",L132&lt;&gt;""),IF(AND(TODAY()&gt;=K132,TODAY()&lt;=L132),"Ativo",IF(TODAY()&gt;L132,"Encerrado","Pendente")),IF(K132&lt;&gt;"","Sem prazo","Pendente")))</x:f>
      </x:c>
      <x:c r="N132" s="142"/>
      <x:c r="O132" s="142"/>
    </x:row>
    <x:row r="133" ht="19" customHeight="1">
      <x:c r="A133" s="142"/>
      <x:c r="B133" s="142"/>
      <x:c r="C133" s="142"/>
      <x:c r="D133" s="142"/>
      <x:c r="E133" s="142"/>
      <x:c r="F133" s="142"/>
      <x:c r="G133" s="142"/>
      <x:c r="H133" s="142"/>
      <x:c r="I133" s="142"/>
      <x:c r="J133" s="208"/>
      <x:c r="K133" s="208"/>
      <x:c r="L133" s="208"/>
      <x:c r="M133" s="202" t="str">
        <x:f>IF(A133="","",IF(AND(K133&lt;&gt;"",L133&lt;&gt;""),IF(AND(TODAY()&gt;=K133,TODAY()&lt;=L133),"Ativo",IF(TODAY()&gt;L133,"Encerrado","Pendente")),IF(K133&lt;&gt;"","Sem prazo","Pendente")))</x:f>
      </x:c>
      <x:c r="N133" s="142"/>
      <x:c r="O133" s="142"/>
    </x:row>
    <x:row r="134" ht="19" customHeight="1">
      <x:c r="A134" s="142"/>
      <x:c r="B134" s="142"/>
      <x:c r="C134" s="142"/>
      <x:c r="D134" s="142"/>
      <x:c r="E134" s="142"/>
      <x:c r="F134" s="142"/>
      <x:c r="G134" s="142"/>
      <x:c r="H134" s="142"/>
      <x:c r="I134" s="142"/>
      <x:c r="J134" s="208"/>
      <x:c r="K134" s="208"/>
      <x:c r="L134" s="208"/>
      <x:c r="M134" s="202" t="str">
        <x:f>IF(A134="","",IF(AND(K134&lt;&gt;"",L134&lt;&gt;""),IF(AND(TODAY()&gt;=K134,TODAY()&lt;=L134),"Ativo",IF(TODAY()&gt;L134,"Encerrado","Pendente")),IF(K134&lt;&gt;"","Sem prazo","Pendente")))</x:f>
      </x:c>
      <x:c r="N134" s="142"/>
      <x:c r="O134" s="142"/>
    </x:row>
    <x:row r="135" ht="19" customHeight="1">
      <x:c r="A135" s="142"/>
      <x:c r="B135" s="142"/>
      <x:c r="C135" s="142"/>
      <x:c r="D135" s="142"/>
      <x:c r="E135" s="142"/>
      <x:c r="F135" s="142"/>
      <x:c r="G135" s="142"/>
      <x:c r="H135" s="142"/>
      <x:c r="I135" s="142"/>
      <x:c r="J135" s="208"/>
      <x:c r="K135" s="208"/>
      <x:c r="L135" s="208"/>
      <x:c r="M135" s="202" t="str">
        <x:f>IF(A135="","",IF(AND(K135&lt;&gt;"",L135&lt;&gt;""),IF(AND(TODAY()&gt;=K135,TODAY()&lt;=L135),"Ativo",IF(TODAY()&gt;L135,"Encerrado","Pendente")),IF(K135&lt;&gt;"","Sem prazo","Pendente")))</x:f>
      </x:c>
      <x:c r="N135" s="142"/>
      <x:c r="O135" s="142"/>
    </x:row>
    <x:row r="136" ht="19" customHeight="1">
      <x:c r="A136" s="142"/>
      <x:c r="B136" s="142"/>
      <x:c r="C136" s="142"/>
      <x:c r="D136" s="142"/>
      <x:c r="E136" s="142"/>
      <x:c r="F136" s="142"/>
      <x:c r="G136" s="142"/>
      <x:c r="H136" s="142"/>
      <x:c r="I136" s="142"/>
      <x:c r="J136" s="208"/>
      <x:c r="K136" s="208"/>
      <x:c r="L136" s="208"/>
      <x:c r="M136" s="202" t="str">
        <x:f>IF(A136="","",IF(AND(K136&lt;&gt;"",L136&lt;&gt;""),IF(AND(TODAY()&gt;=K136,TODAY()&lt;=L136),"Ativo",IF(TODAY()&gt;L136,"Encerrado","Pendente")),IF(K136&lt;&gt;"","Sem prazo","Pendente")))</x:f>
      </x:c>
      <x:c r="N136" s="142"/>
      <x:c r="O136" s="142"/>
    </x:row>
    <x:row r="137" ht="19" customHeight="1">
      <x:c r="A137" s="142"/>
      <x:c r="B137" s="142"/>
      <x:c r="C137" s="142"/>
      <x:c r="D137" s="142"/>
      <x:c r="E137" s="142"/>
      <x:c r="F137" s="142"/>
      <x:c r="G137" s="142"/>
      <x:c r="H137" s="142"/>
      <x:c r="I137" s="142"/>
      <x:c r="J137" s="208"/>
      <x:c r="K137" s="208"/>
      <x:c r="L137" s="208"/>
      <x:c r="M137" s="202" t="str">
        <x:f>IF(A137="","",IF(AND(K137&lt;&gt;"",L137&lt;&gt;""),IF(AND(TODAY()&gt;=K137,TODAY()&lt;=L137),"Ativo",IF(TODAY()&gt;L137,"Encerrado","Pendente")),IF(K137&lt;&gt;"","Sem prazo","Pendente")))</x:f>
      </x:c>
      <x:c r="N137" s="142"/>
      <x:c r="O137" s="142"/>
    </x:row>
    <x:row r="138" ht="19" customHeight="1">
      <x:c r="A138" s="142"/>
      <x:c r="B138" s="142"/>
      <x:c r="C138" s="142"/>
      <x:c r="D138" s="142"/>
      <x:c r="E138" s="142"/>
      <x:c r="F138" s="142"/>
      <x:c r="G138" s="142"/>
      <x:c r="H138" s="142"/>
      <x:c r="I138" s="142"/>
      <x:c r="J138" s="208"/>
      <x:c r="K138" s="208"/>
      <x:c r="L138" s="208"/>
      <x:c r="M138" s="202" t="str">
        <x:f>IF(A138="","",IF(AND(K138&lt;&gt;"",L138&lt;&gt;""),IF(AND(TODAY()&gt;=K138,TODAY()&lt;=L138),"Ativo",IF(TODAY()&gt;L138,"Encerrado","Pendente")),IF(K138&lt;&gt;"","Sem prazo","Pendente")))</x:f>
      </x:c>
      <x:c r="N138" s="142"/>
      <x:c r="O138" s="142"/>
    </x:row>
    <x:row r="139" ht="19" customHeight="1">
      <x:c r="A139" s="142"/>
      <x:c r="B139" s="142"/>
      <x:c r="C139" s="142"/>
      <x:c r="D139" s="142"/>
      <x:c r="E139" s="142"/>
      <x:c r="F139" s="142"/>
      <x:c r="G139" s="142"/>
      <x:c r="H139" s="142"/>
      <x:c r="I139" s="142"/>
      <x:c r="J139" s="208"/>
      <x:c r="K139" s="208"/>
      <x:c r="L139" s="208"/>
      <x:c r="M139" s="202" t="str">
        <x:f>IF(A139="","",IF(AND(K139&lt;&gt;"",L139&lt;&gt;""),IF(AND(TODAY()&gt;=K139,TODAY()&lt;=L139),"Ativo",IF(TODAY()&gt;L139,"Encerrado","Pendente")),IF(K139&lt;&gt;"","Sem prazo","Pendente")))</x:f>
      </x:c>
      <x:c r="N139" s="142"/>
      <x:c r="O139" s="142"/>
    </x:row>
    <x:row r="140" ht="19" customHeight="1">
      <x:c r="A140" s="142"/>
      <x:c r="B140" s="142"/>
      <x:c r="C140" s="142"/>
      <x:c r="D140" s="142"/>
      <x:c r="E140" s="142"/>
      <x:c r="F140" s="142"/>
      <x:c r="G140" s="142"/>
      <x:c r="H140" s="142"/>
      <x:c r="I140" s="142"/>
      <x:c r="J140" s="208"/>
      <x:c r="K140" s="208"/>
      <x:c r="L140" s="208"/>
      <x:c r="M140" s="202" t="str">
        <x:f>IF(A140="","",IF(AND(K140&lt;&gt;"",L140&lt;&gt;""),IF(AND(TODAY()&gt;=K140,TODAY()&lt;=L140),"Ativo",IF(TODAY()&gt;L140,"Encerrado","Pendente")),IF(K140&lt;&gt;"","Sem prazo","Pendente")))</x:f>
      </x:c>
      <x:c r="N140" s="142"/>
      <x:c r="O140" s="142"/>
    </x:row>
    <x:row r="141" ht="19" customHeight="1">
      <x:c r="A141" s="142"/>
      <x:c r="B141" s="142"/>
      <x:c r="C141" s="142"/>
      <x:c r="D141" s="142"/>
      <x:c r="E141" s="142"/>
      <x:c r="F141" s="142"/>
      <x:c r="G141" s="142"/>
      <x:c r="H141" s="142"/>
      <x:c r="I141" s="142"/>
      <x:c r="J141" s="208"/>
      <x:c r="K141" s="208"/>
      <x:c r="L141" s="208"/>
      <x:c r="M141" s="202" t="str">
        <x:f>IF(A141="","",IF(AND(K141&lt;&gt;"",L141&lt;&gt;""),IF(AND(TODAY()&gt;=K141,TODAY()&lt;=L141),"Ativo",IF(TODAY()&gt;L141,"Encerrado","Pendente")),IF(K141&lt;&gt;"","Sem prazo","Pendente")))</x:f>
      </x:c>
      <x:c r="N141" s="142"/>
      <x:c r="O141" s="142"/>
    </x:row>
    <x:row r="142" ht="19" customHeight="1">
      <x:c r="A142" s="142"/>
      <x:c r="B142" s="142"/>
      <x:c r="C142" s="142"/>
      <x:c r="D142" s="142"/>
      <x:c r="E142" s="142"/>
      <x:c r="F142" s="142"/>
      <x:c r="G142" s="142"/>
      <x:c r="H142" s="142"/>
      <x:c r="I142" s="142"/>
      <x:c r="J142" s="208"/>
      <x:c r="K142" s="208"/>
      <x:c r="L142" s="208"/>
      <x:c r="M142" s="202" t="str">
        <x:f>IF(A142="","",IF(AND(K142&lt;&gt;"",L142&lt;&gt;""),IF(AND(TODAY()&gt;=K142,TODAY()&lt;=L142),"Ativo",IF(TODAY()&gt;L142,"Encerrado","Pendente")),IF(K142&lt;&gt;"","Sem prazo","Pendente")))</x:f>
      </x:c>
      <x:c r="N142" s="142"/>
      <x:c r="O142" s="142"/>
    </x:row>
    <x:row r="143" ht="19" customHeight="1">
      <x:c r="A143" s="142"/>
      <x:c r="B143" s="142"/>
      <x:c r="C143" s="142"/>
      <x:c r="D143" s="142"/>
      <x:c r="E143" s="142"/>
      <x:c r="F143" s="142"/>
      <x:c r="G143" s="142"/>
      <x:c r="H143" s="142"/>
      <x:c r="I143" s="142"/>
      <x:c r="J143" s="208"/>
      <x:c r="K143" s="208"/>
      <x:c r="L143" s="208"/>
      <x:c r="M143" s="202" t="str">
        <x:f>IF(A143="","",IF(AND(K143&lt;&gt;"",L143&lt;&gt;""),IF(AND(TODAY()&gt;=K143,TODAY()&lt;=L143),"Ativo",IF(TODAY()&gt;L143,"Encerrado","Pendente")),IF(K143&lt;&gt;"","Sem prazo","Pendente")))</x:f>
      </x:c>
      <x:c r="N143" s="142"/>
      <x:c r="O143" s="142"/>
    </x:row>
    <x:row r="144" ht="19" customHeight="1">
      <x:c r="A144" s="142"/>
      <x:c r="B144" s="142"/>
      <x:c r="C144" s="142"/>
      <x:c r="D144" s="142"/>
      <x:c r="E144" s="142"/>
      <x:c r="F144" s="142"/>
      <x:c r="G144" s="142"/>
      <x:c r="H144" s="142"/>
      <x:c r="I144" s="142"/>
      <x:c r="J144" s="208"/>
      <x:c r="K144" s="208"/>
      <x:c r="L144" s="208"/>
      <x:c r="M144" s="202" t="str">
        <x:f>IF(A144="","",IF(AND(K144&lt;&gt;"",L144&lt;&gt;""),IF(AND(TODAY()&gt;=K144,TODAY()&lt;=L144),"Ativo",IF(TODAY()&gt;L144,"Encerrado","Pendente")),IF(K144&lt;&gt;"","Sem prazo","Pendente")))</x:f>
      </x:c>
      <x:c r="N144" s="142"/>
      <x:c r="O144" s="142"/>
    </x:row>
    <x:row r="145" ht="19" customHeight="1">
      <x:c r="A145" s="142"/>
      <x:c r="B145" s="142"/>
      <x:c r="C145" s="142"/>
      <x:c r="D145" s="142"/>
      <x:c r="E145" s="142"/>
      <x:c r="F145" s="142"/>
      <x:c r="G145" s="142"/>
      <x:c r="H145" s="142"/>
      <x:c r="I145" s="142"/>
      <x:c r="J145" s="208"/>
      <x:c r="K145" s="208"/>
      <x:c r="L145" s="208"/>
      <x:c r="M145" s="202" t="str">
        <x:f>IF(A145="","",IF(AND(K145&lt;&gt;"",L145&lt;&gt;""),IF(AND(TODAY()&gt;=K145,TODAY()&lt;=L145),"Ativo",IF(TODAY()&gt;L145,"Encerrado","Pendente")),IF(K145&lt;&gt;"","Sem prazo","Pendente")))</x:f>
      </x:c>
      <x:c r="N145" s="142"/>
      <x:c r="O145" s="142"/>
    </x:row>
    <x:row r="146" ht="19" customHeight="1">
      <x:c r="A146" s="142"/>
      <x:c r="B146" s="142"/>
      <x:c r="C146" s="142"/>
      <x:c r="D146" s="142"/>
      <x:c r="E146" s="142"/>
      <x:c r="F146" s="142"/>
      <x:c r="G146" s="142"/>
      <x:c r="H146" s="142"/>
      <x:c r="I146" s="142"/>
      <x:c r="J146" s="208"/>
      <x:c r="K146" s="208"/>
      <x:c r="L146" s="208"/>
      <x:c r="M146" s="202" t="str">
        <x:f>IF(A146="","",IF(AND(K146&lt;&gt;"",L146&lt;&gt;""),IF(AND(TODAY()&gt;=K146,TODAY()&lt;=L146),"Ativo",IF(TODAY()&gt;L146,"Encerrado","Pendente")),IF(K146&lt;&gt;"","Sem prazo","Pendente")))</x:f>
      </x:c>
      <x:c r="N146" s="142"/>
      <x:c r="O146" s="142"/>
    </x:row>
    <x:row r="147" ht="19" customHeight="1">
      <x:c r="A147" s="142"/>
      <x:c r="B147" s="142"/>
      <x:c r="C147" s="142"/>
      <x:c r="D147" s="142"/>
      <x:c r="E147" s="142"/>
      <x:c r="F147" s="142"/>
      <x:c r="G147" s="142"/>
      <x:c r="H147" s="142"/>
      <x:c r="I147" s="142"/>
      <x:c r="J147" s="208"/>
      <x:c r="K147" s="208"/>
      <x:c r="L147" s="208"/>
      <x:c r="M147" s="202" t="str">
        <x:f>IF(A147="","",IF(AND(K147&lt;&gt;"",L147&lt;&gt;""),IF(AND(TODAY()&gt;=K147,TODAY()&lt;=L147),"Ativo",IF(TODAY()&gt;L147,"Encerrado","Pendente")),IF(K147&lt;&gt;"","Sem prazo","Pendente")))</x:f>
      </x:c>
      <x:c r="N147" s="142"/>
      <x:c r="O147" s="142"/>
    </x:row>
    <x:row r="148" ht="19" customHeight="1">
      <x:c r="A148" s="142"/>
      <x:c r="B148" s="142"/>
      <x:c r="C148" s="142"/>
      <x:c r="D148" s="142"/>
      <x:c r="E148" s="142"/>
      <x:c r="F148" s="142"/>
      <x:c r="G148" s="142"/>
      <x:c r="H148" s="142"/>
      <x:c r="I148" s="142"/>
      <x:c r="J148" s="208"/>
      <x:c r="K148" s="208"/>
      <x:c r="L148" s="208"/>
      <x:c r="M148" s="202" t="str">
        <x:f>IF(A148="","",IF(AND(K148&lt;&gt;"",L148&lt;&gt;""),IF(AND(TODAY()&gt;=K148,TODAY()&lt;=L148),"Ativo",IF(TODAY()&gt;L148,"Encerrado","Pendente")),IF(K148&lt;&gt;"","Sem prazo","Pendente")))</x:f>
      </x:c>
      <x:c r="N148" s="142"/>
      <x:c r="O148" s="142"/>
    </x:row>
    <x:row r="149" ht="19" customHeight="1">
      <x:c r="A149" s="142"/>
      <x:c r="B149" s="142"/>
      <x:c r="C149" s="142"/>
      <x:c r="D149" s="142"/>
      <x:c r="E149" s="142"/>
      <x:c r="F149" s="142"/>
      <x:c r="G149" s="142"/>
      <x:c r="H149" s="142"/>
      <x:c r="I149" s="142"/>
      <x:c r="J149" s="208"/>
      <x:c r="K149" s="208"/>
      <x:c r="L149" s="208"/>
      <x:c r="M149" s="202" t="str">
        <x:f>IF(A149="","",IF(AND(K149&lt;&gt;"",L149&lt;&gt;""),IF(AND(TODAY()&gt;=K149,TODAY()&lt;=L149),"Ativo",IF(TODAY()&gt;L149,"Encerrado","Pendente")),IF(K149&lt;&gt;"","Sem prazo","Pendente")))</x:f>
      </x:c>
      <x:c r="N149" s="142"/>
      <x:c r="O149" s="142"/>
    </x:row>
    <x:row r="150" ht="19" customHeight="1">
      <x:c r="A150" s="142"/>
      <x:c r="B150" s="142"/>
      <x:c r="C150" s="142"/>
      <x:c r="D150" s="142"/>
      <x:c r="E150" s="142"/>
      <x:c r="F150" s="142"/>
      <x:c r="G150" s="142"/>
      <x:c r="H150" s="142"/>
      <x:c r="I150" s="142"/>
      <x:c r="J150" s="208"/>
      <x:c r="K150" s="208"/>
      <x:c r="L150" s="208"/>
      <x:c r="M150" s="202" t="str">
        <x:f>IF(A150="","",IF(AND(K150&lt;&gt;"",L150&lt;&gt;""),IF(AND(TODAY()&gt;=K150,TODAY()&lt;=L150),"Ativo",IF(TODAY()&gt;L150,"Encerrado","Pendente")),IF(K150&lt;&gt;"","Sem prazo","Pendente")))</x:f>
      </x:c>
      <x:c r="N150" s="142"/>
      <x:c r="O150" s="142"/>
    </x:row>
    <x:row r="151" ht="19" customHeight="1">
      <x:c r="A151" s="142"/>
      <x:c r="B151" s="142"/>
      <x:c r="C151" s="142"/>
      <x:c r="D151" s="142"/>
      <x:c r="E151" s="142"/>
      <x:c r="F151" s="142"/>
      <x:c r="G151" s="142"/>
      <x:c r="H151" s="142"/>
      <x:c r="I151" s="142"/>
      <x:c r="J151" s="208"/>
      <x:c r="K151" s="208"/>
      <x:c r="L151" s="208"/>
      <x:c r="M151" s="202" t="str">
        <x:f>IF(A151="","",IF(AND(K151&lt;&gt;"",L151&lt;&gt;""),IF(AND(TODAY()&gt;=K151,TODAY()&lt;=L151),"Ativo",IF(TODAY()&gt;L151,"Encerrado","Pendente")),IF(K151&lt;&gt;"","Sem prazo","Pendente")))</x:f>
      </x:c>
      <x:c r="N151" s="142"/>
      <x:c r="O151" s="142"/>
    </x:row>
    <x:row r="152" ht="19" customHeight="1">
      <x:c r="A152" s="142"/>
      <x:c r="B152" s="142"/>
      <x:c r="C152" s="142"/>
      <x:c r="D152" s="142"/>
      <x:c r="E152" s="142"/>
      <x:c r="F152" s="142"/>
      <x:c r="G152" s="142"/>
      <x:c r="H152" s="142"/>
      <x:c r="I152" s="142"/>
      <x:c r="J152" s="208"/>
      <x:c r="K152" s="208"/>
      <x:c r="L152" s="208"/>
      <x:c r="M152" s="202" t="str">
        <x:f>IF(A152="","",IF(AND(K152&lt;&gt;"",L152&lt;&gt;""),IF(AND(TODAY()&gt;=K152,TODAY()&lt;=L152),"Ativo",IF(TODAY()&gt;L152,"Encerrado","Pendente")),IF(K152&lt;&gt;"","Sem prazo","Pendente")))</x:f>
      </x:c>
      <x:c r="N152" s="142"/>
      <x:c r="O152" s="142"/>
    </x:row>
    <x:row r="153" ht="19" customHeight="1">
      <x:c r="A153" s="142"/>
      <x:c r="B153" s="142"/>
      <x:c r="C153" s="142"/>
      <x:c r="D153" s="142"/>
      <x:c r="E153" s="142"/>
      <x:c r="F153" s="142"/>
      <x:c r="G153" s="142"/>
      <x:c r="H153" s="142"/>
      <x:c r="I153" s="142"/>
      <x:c r="J153" s="208"/>
      <x:c r="K153" s="208"/>
      <x:c r="L153" s="208"/>
      <x:c r="M153" s="202" t="str">
        <x:f>IF(A153="","",IF(AND(K153&lt;&gt;"",L153&lt;&gt;""),IF(AND(TODAY()&gt;=K153,TODAY()&lt;=L153),"Ativo",IF(TODAY()&gt;L153,"Encerrado","Pendente")),IF(K153&lt;&gt;"","Sem prazo","Pendente")))</x:f>
      </x:c>
      <x:c r="N153" s="142"/>
      <x:c r="O153" s="142"/>
    </x:row>
    <x:row r="154" ht="19" customHeight="1">
      <x:c r="A154" s="142"/>
      <x:c r="B154" s="142"/>
      <x:c r="C154" s="142"/>
      <x:c r="D154" s="142"/>
      <x:c r="E154" s="142"/>
      <x:c r="F154" s="142"/>
      <x:c r="G154" s="142"/>
      <x:c r="H154" s="142"/>
      <x:c r="I154" s="142"/>
      <x:c r="J154" s="208"/>
      <x:c r="K154" s="208"/>
      <x:c r="L154" s="208"/>
      <x:c r="M154" s="202" t="str">
        <x:f>IF(A154="","",IF(AND(K154&lt;&gt;"",L154&lt;&gt;""),IF(AND(TODAY()&gt;=K154,TODAY()&lt;=L154),"Ativo",IF(TODAY()&gt;L154,"Encerrado","Pendente")),IF(K154&lt;&gt;"","Sem prazo","Pendente")))</x:f>
      </x:c>
      <x:c r="N154" s="142"/>
      <x:c r="O154" s="142"/>
    </x:row>
    <x:row r="155" ht="19" customHeight="1">
      <x:c r="A155" s="142"/>
      <x:c r="B155" s="142"/>
      <x:c r="C155" s="142"/>
      <x:c r="D155" s="142"/>
      <x:c r="E155" s="142"/>
      <x:c r="F155" s="142"/>
      <x:c r="G155" s="142"/>
      <x:c r="H155" s="142"/>
      <x:c r="I155" s="142"/>
      <x:c r="J155" s="208"/>
      <x:c r="K155" s="208"/>
      <x:c r="L155" s="208"/>
      <x:c r="M155" s="202" t="str">
        <x:f>IF(A155="","",IF(AND(K155&lt;&gt;"",L155&lt;&gt;""),IF(AND(TODAY()&gt;=K155,TODAY()&lt;=L155),"Ativo",IF(TODAY()&gt;L155,"Encerrado","Pendente")),IF(K155&lt;&gt;"","Sem prazo","Pendente")))</x:f>
      </x:c>
      <x:c r="N155" s="142"/>
      <x:c r="O155" s="142"/>
    </x:row>
    <x:row r="156" ht="19" customHeight="1">
      <x:c r="A156" s="142"/>
      <x:c r="B156" s="142"/>
      <x:c r="C156" s="142"/>
      <x:c r="D156" s="142"/>
      <x:c r="E156" s="142"/>
      <x:c r="F156" s="142"/>
      <x:c r="G156" s="142"/>
      <x:c r="H156" s="142"/>
      <x:c r="I156" s="142"/>
      <x:c r="J156" s="208"/>
      <x:c r="K156" s="208"/>
      <x:c r="L156" s="208"/>
      <x:c r="M156" s="202" t="str">
        <x:f>IF(A156="","",IF(AND(K156&lt;&gt;"",L156&lt;&gt;""),IF(AND(TODAY()&gt;=K156,TODAY()&lt;=L156),"Ativo",IF(TODAY()&gt;L156,"Encerrado","Pendente")),IF(K156&lt;&gt;"","Sem prazo","Pendente")))</x:f>
      </x:c>
      <x:c r="N156" s="142"/>
      <x:c r="O156" s="142"/>
    </x:row>
    <x:row r="157" ht="19" customHeight="1">
      <x:c r="A157" s="142"/>
      <x:c r="B157" s="142"/>
      <x:c r="C157" s="142"/>
      <x:c r="D157" s="142"/>
      <x:c r="E157" s="142"/>
      <x:c r="F157" s="142"/>
      <x:c r="G157" s="142"/>
      <x:c r="H157" s="142"/>
      <x:c r="I157" s="142"/>
      <x:c r="J157" s="208"/>
      <x:c r="K157" s="208"/>
      <x:c r="L157" s="208"/>
      <x:c r="M157" s="202" t="str">
        <x:f>IF(A157="","",IF(AND(K157&lt;&gt;"",L157&lt;&gt;""),IF(AND(TODAY()&gt;=K157,TODAY()&lt;=L157),"Ativo",IF(TODAY()&gt;L157,"Encerrado","Pendente")),IF(K157&lt;&gt;"","Sem prazo","Pendente")))</x:f>
      </x:c>
      <x:c r="N157" s="142"/>
      <x:c r="O157" s="142"/>
    </x:row>
    <x:row r="158" ht="19" customHeight="1">
      <x:c r="A158" s="142"/>
      <x:c r="B158" s="142"/>
      <x:c r="C158" s="142"/>
      <x:c r="D158" s="142"/>
      <x:c r="E158" s="142"/>
      <x:c r="F158" s="142"/>
      <x:c r="G158" s="142"/>
      <x:c r="H158" s="142"/>
      <x:c r="I158" s="142"/>
      <x:c r="J158" s="208"/>
      <x:c r="K158" s="208"/>
      <x:c r="L158" s="208"/>
      <x:c r="M158" s="202" t="str">
        <x:f>IF(A158="","",IF(AND(K158&lt;&gt;"",L158&lt;&gt;""),IF(AND(TODAY()&gt;=K158,TODAY()&lt;=L158),"Ativo",IF(TODAY()&gt;L158,"Encerrado","Pendente")),IF(K158&lt;&gt;"","Sem prazo","Pendente")))</x:f>
      </x:c>
      <x:c r="N158" s="142"/>
      <x:c r="O158" s="142"/>
    </x:row>
    <x:row r="159" ht="19" customHeight="1">
      <x:c r="A159" s="142"/>
      <x:c r="B159" s="142"/>
      <x:c r="C159" s="142"/>
      <x:c r="D159" s="142"/>
      <x:c r="E159" s="142"/>
      <x:c r="F159" s="142"/>
      <x:c r="G159" s="142"/>
      <x:c r="H159" s="142"/>
      <x:c r="I159" s="142"/>
      <x:c r="J159" s="208"/>
      <x:c r="K159" s="208"/>
      <x:c r="L159" s="208"/>
      <x:c r="M159" s="202" t="str">
        <x:f>IF(A159="","",IF(AND(K159&lt;&gt;"",L159&lt;&gt;""),IF(AND(TODAY()&gt;=K159,TODAY()&lt;=L159),"Ativo",IF(TODAY()&gt;L159,"Encerrado","Pendente")),IF(K159&lt;&gt;"","Sem prazo","Pendente")))</x:f>
      </x:c>
      <x:c r="N159" s="142"/>
      <x:c r="O159" s="142"/>
    </x:row>
    <x:row r="160" ht="19" customHeight="1">
      <x:c r="A160" s="142"/>
      <x:c r="B160" s="142"/>
      <x:c r="C160" s="142"/>
      <x:c r="D160" s="142"/>
      <x:c r="E160" s="142"/>
      <x:c r="F160" s="142"/>
      <x:c r="G160" s="142"/>
      <x:c r="H160" s="142"/>
      <x:c r="I160" s="142"/>
      <x:c r="J160" s="208"/>
      <x:c r="K160" s="208"/>
      <x:c r="L160" s="208"/>
      <x:c r="M160" s="202" t="str">
        <x:f>IF(A160="","",IF(AND(K160&lt;&gt;"",L160&lt;&gt;""),IF(AND(TODAY()&gt;=K160,TODAY()&lt;=L160),"Ativo",IF(TODAY()&gt;L160,"Encerrado","Pendente")),IF(K160&lt;&gt;"","Sem prazo","Pendente")))</x:f>
      </x:c>
      <x:c r="N160" s="142"/>
      <x:c r="O160" s="142"/>
    </x:row>
    <x:row r="161" ht="19" customHeight="1">
      <x:c r="A161" s="142"/>
      <x:c r="B161" s="142"/>
      <x:c r="C161" s="142"/>
      <x:c r="D161" s="142"/>
      <x:c r="E161" s="142"/>
      <x:c r="F161" s="142"/>
      <x:c r="G161" s="142"/>
      <x:c r="H161" s="142"/>
      <x:c r="I161" s="142"/>
      <x:c r="J161" s="208"/>
      <x:c r="K161" s="208"/>
      <x:c r="L161" s="208"/>
      <x:c r="M161" s="202" t="str">
        <x:f>IF(A161="","",IF(AND(K161&lt;&gt;"",L161&lt;&gt;""),IF(AND(TODAY()&gt;=K161,TODAY()&lt;=L161),"Ativo",IF(TODAY()&gt;L161,"Encerrado","Pendente")),IF(K161&lt;&gt;"","Sem prazo","Pendente")))</x:f>
      </x:c>
      <x:c r="N161" s="142"/>
      <x:c r="O161" s="142"/>
    </x:row>
    <x:row r="162" ht="19" customHeight="1">
      <x:c r="A162" s="142"/>
      <x:c r="B162" s="142"/>
      <x:c r="C162" s="142"/>
      <x:c r="D162" s="142"/>
      <x:c r="E162" s="142"/>
      <x:c r="F162" s="142"/>
      <x:c r="G162" s="142"/>
      <x:c r="H162" s="142"/>
      <x:c r="I162" s="142"/>
      <x:c r="J162" s="208"/>
      <x:c r="K162" s="208"/>
      <x:c r="L162" s="208"/>
      <x:c r="M162" s="202" t="str">
        <x:f>IF(A162="","",IF(AND(K162&lt;&gt;"",L162&lt;&gt;""),IF(AND(TODAY()&gt;=K162,TODAY()&lt;=L162),"Ativo",IF(TODAY()&gt;L162,"Encerrado","Pendente")),IF(K162&lt;&gt;"","Sem prazo","Pendente")))</x:f>
      </x:c>
      <x:c r="N162" s="142"/>
      <x:c r="O162" s="142"/>
    </x:row>
    <x:row r="163" ht="19" customHeight="1">
      <x:c r="A163" s="142"/>
      <x:c r="B163" s="142"/>
      <x:c r="C163" s="142"/>
      <x:c r="D163" s="142"/>
      <x:c r="E163" s="142"/>
      <x:c r="F163" s="142"/>
      <x:c r="G163" s="142"/>
      <x:c r="H163" s="142"/>
      <x:c r="I163" s="142"/>
      <x:c r="J163" s="208"/>
      <x:c r="K163" s="208"/>
      <x:c r="L163" s="208"/>
      <x:c r="M163" s="202" t="str">
        <x:f>IF(A163="","",IF(AND(K163&lt;&gt;"",L163&lt;&gt;""),IF(AND(TODAY()&gt;=K163,TODAY()&lt;=L163),"Ativo",IF(TODAY()&gt;L163,"Encerrado","Pendente")),IF(K163&lt;&gt;"","Sem prazo","Pendente")))</x:f>
      </x:c>
      <x:c r="N163" s="142"/>
      <x:c r="O163" s="142"/>
    </x:row>
    <x:row r="164" ht="19" customHeight="1">
      <x:c r="A164" s="142"/>
      <x:c r="B164" s="142"/>
      <x:c r="C164" s="142"/>
      <x:c r="D164" s="142"/>
      <x:c r="E164" s="142"/>
      <x:c r="F164" s="142"/>
      <x:c r="G164" s="142"/>
      <x:c r="H164" s="142"/>
      <x:c r="I164" s="142"/>
      <x:c r="J164" s="208"/>
      <x:c r="K164" s="208"/>
      <x:c r="L164" s="208"/>
      <x:c r="M164" s="202" t="str">
        <x:f>IF(A164="","",IF(AND(K164&lt;&gt;"",L164&lt;&gt;""),IF(AND(TODAY()&gt;=K164,TODAY()&lt;=L164),"Ativo",IF(TODAY()&gt;L164,"Encerrado","Pendente")),IF(K164&lt;&gt;"","Sem prazo","Pendente")))</x:f>
      </x:c>
      <x:c r="N164" s="142"/>
      <x:c r="O164" s="142"/>
    </x:row>
    <x:row r="165" ht="19" customHeight="1">
      <x:c r="A165" s="142"/>
      <x:c r="B165" s="142"/>
      <x:c r="C165" s="142"/>
      <x:c r="D165" s="142"/>
      <x:c r="E165" s="142"/>
      <x:c r="F165" s="142"/>
      <x:c r="G165" s="142"/>
      <x:c r="H165" s="142"/>
      <x:c r="I165" s="142"/>
      <x:c r="J165" s="208"/>
      <x:c r="K165" s="208"/>
      <x:c r="L165" s="208"/>
      <x:c r="M165" s="202" t="str">
        <x:f>IF(A165="","",IF(AND(K165&lt;&gt;"",L165&lt;&gt;""),IF(AND(TODAY()&gt;=K165,TODAY()&lt;=L165),"Ativo",IF(TODAY()&gt;L165,"Encerrado","Pendente")),IF(K165&lt;&gt;"","Sem prazo","Pendente")))</x:f>
      </x:c>
      <x:c r="N165" s="142"/>
      <x:c r="O165" s="142"/>
    </x:row>
    <x:row r="166" ht="19" customHeight="1">
      <x:c r="A166" s="142"/>
      <x:c r="B166" s="142"/>
      <x:c r="C166" s="142"/>
      <x:c r="D166" s="142"/>
      <x:c r="E166" s="142"/>
      <x:c r="F166" s="142"/>
      <x:c r="G166" s="142"/>
      <x:c r="H166" s="142"/>
      <x:c r="I166" s="142"/>
      <x:c r="J166" s="208"/>
      <x:c r="K166" s="208"/>
      <x:c r="L166" s="208"/>
      <x:c r="M166" s="202" t="str">
        <x:f>IF(A166="","",IF(AND(K166&lt;&gt;"",L166&lt;&gt;""),IF(AND(TODAY()&gt;=K166,TODAY()&lt;=L166),"Ativo",IF(TODAY()&gt;L166,"Encerrado","Pendente")),IF(K166&lt;&gt;"","Sem prazo","Pendente")))</x:f>
      </x:c>
      <x:c r="N166" s="142"/>
      <x:c r="O166" s="142"/>
    </x:row>
    <x:row r="167" ht="19" customHeight="1">
      <x:c r="A167" s="142"/>
      <x:c r="B167" s="142"/>
      <x:c r="C167" s="142"/>
      <x:c r="D167" s="142"/>
      <x:c r="E167" s="142"/>
      <x:c r="F167" s="142"/>
      <x:c r="G167" s="142"/>
      <x:c r="H167" s="142"/>
      <x:c r="I167" s="142"/>
      <x:c r="J167" s="208"/>
      <x:c r="K167" s="208"/>
      <x:c r="L167" s="208"/>
      <x:c r="M167" s="202" t="str">
        <x:f>IF(A167="","",IF(AND(K167&lt;&gt;"",L167&lt;&gt;""),IF(AND(TODAY()&gt;=K167,TODAY()&lt;=L167),"Ativo",IF(TODAY()&gt;L167,"Encerrado","Pendente")),IF(K167&lt;&gt;"","Sem prazo","Pendente")))</x:f>
      </x:c>
      <x:c r="N167" s="142"/>
      <x:c r="O167" s="142"/>
    </x:row>
    <x:row r="168" ht="19" customHeight="1">
      <x:c r="A168" s="142"/>
      <x:c r="B168" s="142"/>
      <x:c r="C168" s="142"/>
      <x:c r="D168" s="142"/>
      <x:c r="E168" s="142"/>
      <x:c r="F168" s="142"/>
      <x:c r="G168" s="142"/>
      <x:c r="H168" s="142"/>
      <x:c r="I168" s="142"/>
      <x:c r="J168" s="208"/>
      <x:c r="K168" s="208"/>
      <x:c r="L168" s="208"/>
      <x:c r="M168" s="202" t="str">
        <x:f>IF(A168="","",IF(AND(K168&lt;&gt;"",L168&lt;&gt;""),IF(AND(TODAY()&gt;=K168,TODAY()&lt;=L168),"Ativo",IF(TODAY()&gt;L168,"Encerrado","Pendente")),IF(K168&lt;&gt;"","Sem prazo","Pendente")))</x:f>
      </x:c>
      <x:c r="N168" s="142"/>
      <x:c r="O168" s="142"/>
    </x:row>
    <x:row r="169" ht="19" customHeight="1">
      <x:c r="A169" s="142"/>
      <x:c r="B169" s="142"/>
      <x:c r="C169" s="142"/>
      <x:c r="D169" s="142"/>
      <x:c r="E169" s="142"/>
      <x:c r="F169" s="142"/>
      <x:c r="G169" s="142"/>
      <x:c r="H169" s="142"/>
      <x:c r="I169" s="142"/>
      <x:c r="J169" s="208"/>
      <x:c r="K169" s="208"/>
      <x:c r="L169" s="208"/>
      <x:c r="M169" s="202" t="str">
        <x:f>IF(A169="","",IF(AND(K169&lt;&gt;"",L169&lt;&gt;""),IF(AND(TODAY()&gt;=K169,TODAY()&lt;=L169),"Ativo",IF(TODAY()&gt;L169,"Encerrado","Pendente")),IF(K169&lt;&gt;"","Sem prazo","Pendente")))</x:f>
      </x:c>
      <x:c r="N169" s="142"/>
      <x:c r="O169" s="142"/>
    </x:row>
    <x:row r="170" ht="19" customHeight="1">
      <x:c r="A170" s="142"/>
      <x:c r="B170" s="142"/>
      <x:c r="C170" s="142"/>
      <x:c r="D170" s="142"/>
      <x:c r="E170" s="142"/>
      <x:c r="F170" s="142"/>
      <x:c r="G170" s="142"/>
      <x:c r="H170" s="142"/>
      <x:c r="I170" s="142"/>
      <x:c r="J170" s="208"/>
      <x:c r="K170" s="208"/>
      <x:c r="L170" s="208"/>
      <x:c r="M170" s="202" t="str">
        <x:f>IF(A170="","",IF(AND(K170&lt;&gt;"",L170&lt;&gt;""),IF(AND(TODAY()&gt;=K170,TODAY()&lt;=L170),"Ativo",IF(TODAY()&gt;L170,"Encerrado","Pendente")),IF(K170&lt;&gt;"","Sem prazo","Pendente")))</x:f>
      </x:c>
      <x:c r="N170" s="142"/>
      <x:c r="O170" s="142"/>
    </x:row>
    <x:row r="171" ht="19" customHeight="1">
      <x:c r="A171" s="142"/>
      <x:c r="B171" s="142"/>
      <x:c r="C171" s="142"/>
      <x:c r="D171" s="142"/>
      <x:c r="E171" s="142"/>
      <x:c r="F171" s="142"/>
      <x:c r="G171" s="142"/>
      <x:c r="H171" s="142"/>
      <x:c r="I171" s="142"/>
      <x:c r="J171" s="208"/>
      <x:c r="K171" s="208"/>
      <x:c r="L171" s="208"/>
      <x:c r="M171" s="202" t="str">
        <x:f>IF(A171="","",IF(AND(K171&lt;&gt;"",L171&lt;&gt;""),IF(AND(TODAY()&gt;=K171,TODAY()&lt;=L171),"Ativo",IF(TODAY()&gt;L171,"Encerrado","Pendente")),IF(K171&lt;&gt;"","Sem prazo","Pendente")))</x:f>
      </x:c>
      <x:c r="N171" s="142"/>
      <x:c r="O171" s="142"/>
    </x:row>
    <x:row r="172" ht="19" customHeight="1">
      <x:c r="A172" s="142"/>
      <x:c r="B172" s="142"/>
      <x:c r="C172" s="142"/>
      <x:c r="D172" s="142"/>
      <x:c r="E172" s="142"/>
      <x:c r="F172" s="142"/>
      <x:c r="G172" s="142"/>
      <x:c r="H172" s="142"/>
      <x:c r="I172" s="142"/>
      <x:c r="J172" s="208"/>
      <x:c r="K172" s="208"/>
      <x:c r="L172" s="208"/>
      <x:c r="M172" s="202" t="str">
        <x:f>IF(A172="","",IF(AND(K172&lt;&gt;"",L172&lt;&gt;""),IF(AND(TODAY()&gt;=K172,TODAY()&lt;=L172),"Ativo",IF(TODAY()&gt;L172,"Encerrado","Pendente")),IF(K172&lt;&gt;"","Sem prazo","Pendente")))</x:f>
      </x:c>
      <x:c r="N172" s="142"/>
      <x:c r="O172" s="142"/>
    </x:row>
    <x:row r="173" ht="19" customHeight="1">
      <x:c r="A173" s="142"/>
      <x:c r="B173" s="142"/>
      <x:c r="C173" s="142"/>
      <x:c r="D173" s="142"/>
      <x:c r="E173" s="142"/>
      <x:c r="F173" s="142"/>
      <x:c r="G173" s="142"/>
      <x:c r="H173" s="142"/>
      <x:c r="I173" s="142"/>
      <x:c r="J173" s="208"/>
      <x:c r="K173" s="208"/>
      <x:c r="L173" s="208"/>
      <x:c r="M173" s="202" t="str">
        <x:f>IF(A173="","",IF(AND(K173&lt;&gt;"",L173&lt;&gt;""),IF(AND(TODAY()&gt;=K173,TODAY()&lt;=L173),"Ativo",IF(TODAY()&gt;L173,"Encerrado","Pendente")),IF(K173&lt;&gt;"","Sem prazo","Pendente")))</x:f>
      </x:c>
      <x:c r="N173" s="142"/>
      <x:c r="O173" s="142"/>
    </x:row>
    <x:row r="174" ht="19" customHeight="1">
      <x:c r="A174" s="142"/>
      <x:c r="B174" s="142"/>
      <x:c r="C174" s="142"/>
      <x:c r="D174" s="142"/>
      <x:c r="E174" s="142"/>
      <x:c r="F174" s="142"/>
      <x:c r="G174" s="142"/>
      <x:c r="H174" s="142"/>
      <x:c r="I174" s="142"/>
      <x:c r="J174" s="208"/>
      <x:c r="K174" s="208"/>
      <x:c r="L174" s="208"/>
      <x:c r="M174" s="202" t="str">
        <x:f>IF(A174="","",IF(AND(K174&lt;&gt;"",L174&lt;&gt;""),IF(AND(TODAY()&gt;=K174,TODAY()&lt;=L174),"Ativo",IF(TODAY()&gt;L174,"Encerrado","Pendente")),IF(K174&lt;&gt;"","Sem prazo","Pendente")))</x:f>
      </x:c>
      <x:c r="N174" s="142"/>
      <x:c r="O174" s="142"/>
    </x:row>
    <x:row r="175" ht="19" customHeight="1">
      <x:c r="A175" s="142"/>
      <x:c r="B175" s="142"/>
      <x:c r="C175" s="142"/>
      <x:c r="D175" s="142"/>
      <x:c r="E175" s="142"/>
      <x:c r="F175" s="142"/>
      <x:c r="G175" s="142"/>
      <x:c r="H175" s="142"/>
      <x:c r="I175" s="142"/>
      <x:c r="J175" s="208"/>
      <x:c r="K175" s="208"/>
      <x:c r="L175" s="208"/>
      <x:c r="M175" s="202" t="str">
        <x:f>IF(A175="","",IF(AND(K175&lt;&gt;"",L175&lt;&gt;""),IF(AND(TODAY()&gt;=K175,TODAY()&lt;=L175),"Ativo",IF(TODAY()&gt;L175,"Encerrado","Pendente")),IF(K175&lt;&gt;"","Sem prazo","Pendente")))</x:f>
      </x:c>
      <x:c r="N175" s="142"/>
      <x:c r="O175" s="142"/>
    </x:row>
    <x:row r="176" ht="19" customHeight="1">
      <x:c r="A176" s="142"/>
      <x:c r="B176" s="142"/>
      <x:c r="C176" s="142"/>
      <x:c r="D176" s="142"/>
      <x:c r="E176" s="142"/>
      <x:c r="F176" s="142"/>
      <x:c r="G176" s="142"/>
      <x:c r="H176" s="142"/>
      <x:c r="I176" s="142"/>
      <x:c r="J176" s="208"/>
      <x:c r="K176" s="208"/>
      <x:c r="L176" s="208"/>
      <x:c r="M176" s="202" t="str">
        <x:f>IF(A176="","",IF(AND(K176&lt;&gt;"",L176&lt;&gt;""),IF(AND(TODAY()&gt;=K176,TODAY()&lt;=L176),"Ativo",IF(TODAY()&gt;L176,"Encerrado","Pendente")),IF(K176&lt;&gt;"","Sem prazo","Pendente")))</x:f>
      </x:c>
      <x:c r="N176" s="142"/>
      <x:c r="O176" s="142"/>
    </x:row>
    <x:row r="177" ht="19" customHeight="1">
      <x:c r="A177" s="142"/>
      <x:c r="B177" s="142"/>
      <x:c r="C177" s="142"/>
      <x:c r="D177" s="142"/>
      <x:c r="E177" s="142"/>
      <x:c r="F177" s="142"/>
      <x:c r="G177" s="142"/>
      <x:c r="H177" s="142"/>
      <x:c r="I177" s="142"/>
      <x:c r="J177" s="208"/>
      <x:c r="K177" s="208"/>
      <x:c r="L177" s="208"/>
      <x:c r="M177" s="202" t="str">
        <x:f>IF(A177="","",IF(AND(K177&lt;&gt;"",L177&lt;&gt;""),IF(AND(TODAY()&gt;=K177,TODAY()&lt;=L177),"Ativo",IF(TODAY()&gt;L177,"Encerrado","Pendente")),IF(K177&lt;&gt;"","Sem prazo","Pendente")))</x:f>
      </x:c>
      <x:c r="N177" s="142"/>
      <x:c r="O177" s="142"/>
    </x:row>
    <x:row r="178" ht="19" customHeight="1">
      <x:c r="A178" s="142"/>
      <x:c r="B178" s="142"/>
      <x:c r="C178" s="142"/>
      <x:c r="D178" s="142"/>
      <x:c r="E178" s="142"/>
      <x:c r="F178" s="142"/>
      <x:c r="G178" s="142"/>
      <x:c r="H178" s="142"/>
      <x:c r="I178" s="142"/>
      <x:c r="J178" s="208"/>
      <x:c r="K178" s="208"/>
      <x:c r="L178" s="208"/>
      <x:c r="M178" s="202" t="str">
        <x:f>IF(A178="","",IF(AND(K178&lt;&gt;"",L178&lt;&gt;""),IF(AND(TODAY()&gt;=K178,TODAY()&lt;=L178),"Ativo",IF(TODAY()&gt;L178,"Encerrado","Pendente")),IF(K178&lt;&gt;"","Sem prazo","Pendente")))</x:f>
      </x:c>
      <x:c r="N178" s="142"/>
      <x:c r="O178" s="142"/>
    </x:row>
    <x:row r="179" ht="19" customHeight="1">
      <x:c r="A179" s="142"/>
      <x:c r="B179" s="142"/>
      <x:c r="C179" s="142"/>
      <x:c r="D179" s="142"/>
      <x:c r="E179" s="142"/>
      <x:c r="F179" s="142"/>
      <x:c r="G179" s="142"/>
      <x:c r="H179" s="142"/>
      <x:c r="I179" s="142"/>
      <x:c r="J179" s="208"/>
      <x:c r="K179" s="208"/>
      <x:c r="L179" s="208"/>
      <x:c r="M179" s="202" t="str">
        <x:f>IF(A179="","",IF(AND(K179&lt;&gt;"",L179&lt;&gt;""),IF(AND(TODAY()&gt;=K179,TODAY()&lt;=L179),"Ativo",IF(TODAY()&gt;L179,"Encerrado","Pendente")),IF(K179&lt;&gt;"","Sem prazo","Pendente")))</x:f>
      </x:c>
      <x:c r="N179" s="142"/>
      <x:c r="O179" s="142"/>
    </x:row>
    <x:row r="180" ht="19" customHeight="1">
      <x:c r="A180" s="142"/>
      <x:c r="B180" s="142"/>
      <x:c r="C180" s="142"/>
      <x:c r="D180" s="142"/>
      <x:c r="E180" s="142"/>
      <x:c r="F180" s="142"/>
      <x:c r="G180" s="142"/>
      <x:c r="H180" s="142"/>
      <x:c r="I180" s="142"/>
      <x:c r="J180" s="208"/>
      <x:c r="K180" s="208"/>
      <x:c r="L180" s="208"/>
      <x:c r="M180" s="202" t="str">
        <x:f>IF(A180="","",IF(AND(K180&lt;&gt;"",L180&lt;&gt;""),IF(AND(TODAY()&gt;=K180,TODAY()&lt;=L180),"Ativo",IF(TODAY()&gt;L180,"Encerrado","Pendente")),IF(K180&lt;&gt;"","Sem prazo","Pendente")))</x:f>
      </x:c>
      <x:c r="N180" s="142"/>
      <x:c r="O180" s="142"/>
    </x:row>
    <x:row r="181" ht="19" customHeight="1">
      <x:c r="A181" s="142"/>
      <x:c r="B181" s="142"/>
      <x:c r="C181" s="142"/>
      <x:c r="D181" s="142"/>
      <x:c r="E181" s="142"/>
      <x:c r="F181" s="142"/>
      <x:c r="G181" s="142"/>
      <x:c r="H181" s="142"/>
      <x:c r="I181" s="142"/>
      <x:c r="J181" s="208"/>
      <x:c r="K181" s="208"/>
      <x:c r="L181" s="208"/>
      <x:c r="M181" s="202" t="str">
        <x:f>IF(A181="","",IF(AND(K181&lt;&gt;"",L181&lt;&gt;""),IF(AND(TODAY()&gt;=K181,TODAY()&lt;=L181),"Ativo",IF(TODAY()&gt;L181,"Encerrado","Pendente")),IF(K181&lt;&gt;"","Sem prazo","Pendente")))</x:f>
      </x:c>
      <x:c r="N181" s="142"/>
      <x:c r="O181" s="142"/>
    </x:row>
    <x:row r="182" ht="19" customHeight="1">
      <x:c r="A182" s="142"/>
      <x:c r="B182" s="142"/>
      <x:c r="C182" s="142"/>
      <x:c r="D182" s="142"/>
      <x:c r="E182" s="142"/>
      <x:c r="F182" s="142"/>
      <x:c r="G182" s="142"/>
      <x:c r="H182" s="142"/>
      <x:c r="I182" s="142"/>
      <x:c r="J182" s="208"/>
      <x:c r="K182" s="208"/>
      <x:c r="L182" s="208"/>
      <x:c r="M182" s="202" t="str">
        <x:f>IF(A182="","",IF(AND(K182&lt;&gt;"",L182&lt;&gt;""),IF(AND(TODAY()&gt;=K182,TODAY()&lt;=L182),"Ativo",IF(TODAY()&gt;L182,"Encerrado","Pendente")),IF(K182&lt;&gt;"","Sem prazo","Pendente")))</x:f>
      </x:c>
      <x:c r="N182" s="142"/>
      <x:c r="O182" s="142"/>
    </x:row>
    <x:row r="183" ht="19" customHeight="1">
      <x:c r="A183" s="142"/>
      <x:c r="B183" s="142"/>
      <x:c r="C183" s="142"/>
      <x:c r="D183" s="142"/>
      <x:c r="E183" s="142"/>
      <x:c r="F183" s="142"/>
      <x:c r="G183" s="142"/>
      <x:c r="H183" s="142"/>
      <x:c r="I183" s="142"/>
      <x:c r="J183" s="208"/>
      <x:c r="K183" s="208"/>
      <x:c r="L183" s="208"/>
      <x:c r="M183" s="202" t="str">
        <x:f>IF(A183="","",IF(AND(K183&lt;&gt;"",L183&lt;&gt;""),IF(AND(TODAY()&gt;=K183,TODAY()&lt;=L183),"Ativo",IF(TODAY()&gt;L183,"Encerrado","Pendente")),IF(K183&lt;&gt;"","Sem prazo","Pendente")))</x:f>
      </x:c>
      <x:c r="N183" s="142"/>
      <x:c r="O183" s="142"/>
    </x:row>
    <x:row r="184" ht="19" customHeight="1">
      <x:c r="A184" s="142"/>
      <x:c r="B184" s="142"/>
      <x:c r="C184" s="142"/>
      <x:c r="D184" s="142"/>
      <x:c r="E184" s="142"/>
      <x:c r="F184" s="142"/>
      <x:c r="G184" s="142"/>
      <x:c r="H184" s="142"/>
      <x:c r="I184" s="142"/>
      <x:c r="J184" s="208"/>
      <x:c r="K184" s="208"/>
      <x:c r="L184" s="208"/>
      <x:c r="M184" s="202" t="str">
        <x:f>IF(A184="","",IF(AND(K184&lt;&gt;"",L184&lt;&gt;""),IF(AND(TODAY()&gt;=K184,TODAY()&lt;=L184),"Ativo",IF(TODAY()&gt;L184,"Encerrado","Pendente")),IF(K184&lt;&gt;"","Sem prazo","Pendente")))</x:f>
      </x:c>
      <x:c r="N184" s="142"/>
      <x:c r="O184" s="142"/>
    </x:row>
    <x:row r="185" ht="19" customHeight="1">
      <x:c r="A185" s="142"/>
      <x:c r="B185" s="142"/>
      <x:c r="C185" s="142"/>
      <x:c r="D185" s="142"/>
      <x:c r="E185" s="142"/>
      <x:c r="F185" s="142"/>
      <x:c r="G185" s="142"/>
      <x:c r="H185" s="142"/>
      <x:c r="I185" s="142"/>
      <x:c r="J185" s="208"/>
      <x:c r="K185" s="208"/>
      <x:c r="L185" s="208"/>
      <x:c r="M185" s="202" t="str">
        <x:f>IF(A185="","",IF(AND(K185&lt;&gt;"",L185&lt;&gt;""),IF(AND(TODAY()&gt;=K185,TODAY()&lt;=L185),"Ativo",IF(TODAY()&gt;L185,"Encerrado","Pendente")),IF(K185&lt;&gt;"","Sem prazo","Pendente")))</x:f>
      </x:c>
      <x:c r="N185" s="142"/>
      <x:c r="O185" s="142"/>
    </x:row>
    <x:row r="186" ht="19" customHeight="1">
      <x:c r="A186" s="142"/>
      <x:c r="B186" s="142"/>
      <x:c r="C186" s="142"/>
      <x:c r="D186" s="142"/>
      <x:c r="E186" s="142"/>
      <x:c r="F186" s="142"/>
      <x:c r="G186" s="142"/>
      <x:c r="H186" s="142"/>
      <x:c r="I186" s="142"/>
      <x:c r="J186" s="208"/>
      <x:c r="K186" s="208"/>
      <x:c r="L186" s="208"/>
      <x:c r="M186" s="202" t="str">
        <x:f>IF(A186="","",IF(AND(K186&lt;&gt;"",L186&lt;&gt;""),IF(AND(TODAY()&gt;=K186,TODAY()&lt;=L186),"Ativo",IF(TODAY()&gt;L186,"Encerrado","Pendente")),IF(K186&lt;&gt;"","Sem prazo","Pendente")))</x:f>
      </x:c>
      <x:c r="N186" s="142"/>
      <x:c r="O186" s="142"/>
    </x:row>
    <x:row r="187" ht="19" customHeight="1">
      <x:c r="A187" s="142"/>
      <x:c r="B187" s="142"/>
      <x:c r="C187" s="142"/>
      <x:c r="D187" s="142"/>
      <x:c r="E187" s="142"/>
      <x:c r="F187" s="142"/>
      <x:c r="G187" s="142"/>
      <x:c r="H187" s="142"/>
      <x:c r="I187" s="142"/>
      <x:c r="J187" s="208"/>
      <x:c r="K187" s="208"/>
      <x:c r="L187" s="208"/>
      <x:c r="M187" s="202" t="str">
        <x:f>IF(A187="","",IF(AND(K187&lt;&gt;"",L187&lt;&gt;""),IF(AND(TODAY()&gt;=K187,TODAY()&lt;=L187),"Ativo",IF(TODAY()&gt;L187,"Encerrado","Pendente")),IF(K187&lt;&gt;"","Sem prazo","Pendente")))</x:f>
      </x:c>
      <x:c r="N187" s="142"/>
      <x:c r="O187" s="142"/>
    </x:row>
    <x:row r="188" ht="19" customHeight="1">
      <x:c r="A188" s="142"/>
      <x:c r="B188" s="142"/>
      <x:c r="C188" s="142"/>
      <x:c r="D188" s="142"/>
      <x:c r="E188" s="142"/>
      <x:c r="F188" s="142"/>
      <x:c r="G188" s="142"/>
      <x:c r="H188" s="142"/>
      <x:c r="I188" s="142"/>
      <x:c r="J188" s="208"/>
      <x:c r="K188" s="208"/>
      <x:c r="L188" s="208"/>
      <x:c r="M188" s="202" t="str">
        <x:f>IF(A188="","",IF(AND(K188&lt;&gt;"",L188&lt;&gt;""),IF(AND(TODAY()&gt;=K188,TODAY()&lt;=L188),"Ativo",IF(TODAY()&gt;L188,"Encerrado","Pendente")),IF(K188&lt;&gt;"","Sem prazo","Pendente")))</x:f>
      </x:c>
      <x:c r="N188" s="142"/>
      <x:c r="O188" s="142"/>
    </x:row>
    <x:row r="189" ht="19" customHeight="1">
      <x:c r="A189" s="142"/>
      <x:c r="B189" s="142"/>
      <x:c r="C189" s="142"/>
      <x:c r="D189" s="142"/>
      <x:c r="E189" s="142"/>
      <x:c r="F189" s="142"/>
      <x:c r="G189" s="142"/>
      <x:c r="H189" s="142"/>
      <x:c r="I189" s="142"/>
      <x:c r="J189" s="208"/>
      <x:c r="K189" s="208"/>
      <x:c r="L189" s="208"/>
      <x:c r="M189" s="202" t="str">
        <x:f>IF(A189="","",IF(AND(K189&lt;&gt;"",L189&lt;&gt;""),IF(AND(TODAY()&gt;=K189,TODAY()&lt;=L189),"Ativo",IF(TODAY()&gt;L189,"Encerrado","Pendente")),IF(K189&lt;&gt;"","Sem prazo","Pendente")))</x:f>
      </x:c>
      <x:c r="N189" s="142"/>
      <x:c r="O189" s="142"/>
    </x:row>
    <x:row r="190" ht="19" customHeight="1">
      <x:c r="A190" s="142"/>
      <x:c r="B190" s="142"/>
      <x:c r="C190" s="142"/>
      <x:c r="D190" s="142"/>
      <x:c r="E190" s="142"/>
      <x:c r="F190" s="142"/>
      <x:c r="G190" s="142"/>
      <x:c r="H190" s="142"/>
      <x:c r="I190" s="142"/>
      <x:c r="J190" s="208"/>
      <x:c r="K190" s="208"/>
      <x:c r="L190" s="208"/>
      <x:c r="M190" s="202" t="str">
        <x:f>IF(A190="","",IF(AND(K190&lt;&gt;"",L190&lt;&gt;""),IF(AND(TODAY()&gt;=K190,TODAY()&lt;=L190),"Ativo",IF(TODAY()&gt;L190,"Encerrado","Pendente")),IF(K190&lt;&gt;"","Sem prazo","Pendente")))</x:f>
      </x:c>
      <x:c r="N190" s="142"/>
      <x:c r="O190" s="142"/>
    </x:row>
    <x:row r="191" ht="19" customHeight="1">
      <x:c r="A191" s="142"/>
      <x:c r="B191" s="142"/>
      <x:c r="C191" s="142"/>
      <x:c r="D191" s="142"/>
      <x:c r="E191" s="142"/>
      <x:c r="F191" s="142"/>
      <x:c r="G191" s="142"/>
      <x:c r="H191" s="142"/>
      <x:c r="I191" s="142"/>
      <x:c r="J191" s="208"/>
      <x:c r="K191" s="208"/>
      <x:c r="L191" s="208"/>
      <x:c r="M191" s="202" t="str">
        <x:f>IF(A191="","",IF(AND(K191&lt;&gt;"",L191&lt;&gt;""),IF(AND(TODAY()&gt;=K191,TODAY()&lt;=L191),"Ativo",IF(TODAY()&gt;L191,"Encerrado","Pendente")),IF(K191&lt;&gt;"","Sem prazo","Pendente")))</x:f>
      </x:c>
      <x:c r="N191" s="142"/>
      <x:c r="O191" s="142"/>
    </x:row>
    <x:row r="192" ht="19" customHeight="1">
      <x:c r="A192" s="142"/>
      <x:c r="B192" s="142"/>
      <x:c r="C192" s="142"/>
      <x:c r="D192" s="142"/>
      <x:c r="E192" s="142"/>
      <x:c r="F192" s="142"/>
      <x:c r="G192" s="142"/>
      <x:c r="H192" s="142"/>
      <x:c r="I192" s="142"/>
      <x:c r="J192" s="208"/>
      <x:c r="K192" s="208"/>
      <x:c r="L192" s="208"/>
      <x:c r="M192" s="202" t="str">
        <x:f>IF(A192="","",IF(AND(K192&lt;&gt;"",L192&lt;&gt;""),IF(AND(TODAY()&gt;=K192,TODAY()&lt;=L192),"Ativo",IF(TODAY()&gt;L192,"Encerrado","Pendente")),IF(K192&lt;&gt;"","Sem prazo","Pendente")))</x:f>
      </x:c>
      <x:c r="N192" s="142"/>
      <x:c r="O192" s="142"/>
    </x:row>
    <x:row r="193" ht="19" customHeight="1">
      <x:c r="A193" s="142"/>
      <x:c r="B193" s="142"/>
      <x:c r="C193" s="142"/>
      <x:c r="D193" s="142"/>
      <x:c r="E193" s="142"/>
      <x:c r="F193" s="142"/>
      <x:c r="G193" s="142"/>
      <x:c r="H193" s="142"/>
      <x:c r="I193" s="142"/>
      <x:c r="J193" s="208"/>
      <x:c r="K193" s="208"/>
      <x:c r="L193" s="208"/>
      <x:c r="M193" s="202" t="str">
        <x:f>IF(A193="","",IF(AND(K193&lt;&gt;"",L193&lt;&gt;""),IF(AND(TODAY()&gt;=K193,TODAY()&lt;=L193),"Ativo",IF(TODAY()&gt;L193,"Encerrado","Pendente")),IF(K193&lt;&gt;"","Sem prazo","Pendente")))</x:f>
      </x:c>
      <x:c r="N193" s="142"/>
      <x:c r="O193" s="142"/>
    </x:row>
    <x:row r="194" ht="19" customHeight="1">
      <x:c r="A194" s="142"/>
      <x:c r="B194" s="142"/>
      <x:c r="C194" s="142"/>
      <x:c r="D194" s="142"/>
      <x:c r="E194" s="142"/>
      <x:c r="F194" s="142"/>
      <x:c r="G194" s="142"/>
      <x:c r="H194" s="142"/>
      <x:c r="I194" s="142"/>
      <x:c r="J194" s="208"/>
      <x:c r="K194" s="208"/>
      <x:c r="L194" s="208"/>
      <x:c r="M194" s="202" t="str">
        <x:f>IF(A194="","",IF(AND(K194&lt;&gt;"",L194&lt;&gt;""),IF(AND(TODAY()&gt;=K194,TODAY()&lt;=L194),"Ativo",IF(TODAY()&gt;L194,"Encerrado","Pendente")),IF(K194&lt;&gt;"","Sem prazo","Pendente")))</x:f>
      </x:c>
      <x:c r="N194" s="142"/>
      <x:c r="O194" s="142"/>
    </x:row>
    <x:row r="195" ht="19" customHeight="1">
      <x:c r="A195" s="142"/>
      <x:c r="B195" s="142"/>
      <x:c r="C195" s="142"/>
      <x:c r="D195" s="142"/>
      <x:c r="E195" s="142"/>
      <x:c r="F195" s="142"/>
      <x:c r="G195" s="142"/>
      <x:c r="H195" s="142"/>
      <x:c r="I195" s="142"/>
      <x:c r="J195" s="208"/>
      <x:c r="K195" s="208"/>
      <x:c r="L195" s="208"/>
      <x:c r="M195" s="202" t="str">
        <x:f>IF(A195="","",IF(AND(K195&lt;&gt;"",L195&lt;&gt;""),IF(AND(TODAY()&gt;=K195,TODAY()&lt;=L195),"Ativo",IF(TODAY()&gt;L195,"Encerrado","Pendente")),IF(K195&lt;&gt;"","Sem prazo","Pendente")))</x:f>
      </x:c>
      <x:c r="N195" s="142"/>
      <x:c r="O195" s="142"/>
    </x:row>
    <x:row r="196" ht="19" customHeight="1">
      <x:c r="A196" s="142"/>
      <x:c r="B196" s="142"/>
      <x:c r="C196" s="142"/>
      <x:c r="D196" s="142"/>
      <x:c r="E196" s="142"/>
      <x:c r="F196" s="142"/>
      <x:c r="G196" s="142"/>
      <x:c r="H196" s="142"/>
      <x:c r="I196" s="142"/>
      <x:c r="J196" s="208"/>
      <x:c r="K196" s="208"/>
      <x:c r="L196" s="208"/>
      <x:c r="M196" s="202" t="str">
        <x:f>IF(A196="","",IF(AND(K196&lt;&gt;"",L196&lt;&gt;""),IF(AND(TODAY()&gt;=K196,TODAY()&lt;=L196),"Ativo",IF(TODAY()&gt;L196,"Encerrado","Pendente")),IF(K196&lt;&gt;"","Sem prazo","Pendente")))</x:f>
      </x:c>
      <x:c r="N196" s="142"/>
      <x:c r="O196" s="142"/>
    </x:row>
    <x:row r="197" ht="19" customHeight="1">
      <x:c r="A197" s="142"/>
      <x:c r="B197" s="142"/>
      <x:c r="C197" s="142"/>
      <x:c r="D197" s="142"/>
      <x:c r="E197" s="142"/>
      <x:c r="F197" s="142"/>
      <x:c r="G197" s="142"/>
      <x:c r="H197" s="142"/>
      <x:c r="I197" s="142"/>
      <x:c r="J197" s="208"/>
      <x:c r="K197" s="208"/>
      <x:c r="L197" s="208"/>
      <x:c r="M197" s="202" t="str">
        <x:f>IF(A197="","",IF(AND(K197&lt;&gt;"",L197&lt;&gt;""),IF(AND(TODAY()&gt;=K197,TODAY()&lt;=L197),"Ativo",IF(TODAY()&gt;L197,"Encerrado","Pendente")),IF(K197&lt;&gt;"","Sem prazo","Pendente")))</x:f>
      </x:c>
      <x:c r="N197" s="142"/>
      <x:c r="O197" s="142"/>
    </x:row>
    <x:row r="198" ht="19" customHeight="1">
      <x:c r="A198" s="142"/>
      <x:c r="B198" s="142"/>
      <x:c r="C198" s="142"/>
      <x:c r="D198" s="142"/>
      <x:c r="E198" s="142"/>
      <x:c r="F198" s="142"/>
      <x:c r="G198" s="142"/>
      <x:c r="H198" s="142"/>
      <x:c r="I198" s="142"/>
      <x:c r="J198" s="208"/>
      <x:c r="K198" s="208"/>
      <x:c r="L198" s="208"/>
      <x:c r="M198" s="202" t="str">
        <x:f>IF(A198="","",IF(AND(K198&lt;&gt;"",L198&lt;&gt;""),IF(AND(TODAY()&gt;=K198,TODAY()&lt;=L198),"Ativo",IF(TODAY()&gt;L198,"Encerrado","Pendente")),IF(K198&lt;&gt;"","Sem prazo","Pendente")))</x:f>
      </x:c>
      <x:c r="N198" s="142"/>
      <x:c r="O198" s="142"/>
    </x:row>
    <x:row r="199" ht="19" customHeight="1">
      <x:c r="A199" s="142"/>
      <x:c r="B199" s="142"/>
      <x:c r="C199" s="142"/>
      <x:c r="D199" s="142"/>
      <x:c r="E199" s="142"/>
      <x:c r="F199" s="142"/>
      <x:c r="G199" s="142"/>
      <x:c r="H199" s="142"/>
      <x:c r="I199" s="142"/>
      <x:c r="J199" s="208"/>
      <x:c r="K199" s="208"/>
      <x:c r="L199" s="208"/>
      <x:c r="M199" s="202" t="str">
        <x:f>IF(A199="","",IF(AND(K199&lt;&gt;"",L199&lt;&gt;""),IF(AND(TODAY()&gt;=K199,TODAY()&lt;=L199),"Ativo",IF(TODAY()&gt;L199,"Encerrado","Pendente")),IF(K199&lt;&gt;"","Sem prazo","Pendente")))</x:f>
      </x:c>
      <x:c r="N199" s="142"/>
      <x:c r="O199" s="142"/>
    </x:row>
    <x:row r="200" ht="19" customHeight="1">
      <x:c r="A200" s="142"/>
      <x:c r="B200" s="142"/>
      <x:c r="C200" s="142"/>
      <x:c r="D200" s="142"/>
      <x:c r="E200" s="142"/>
      <x:c r="F200" s="142"/>
      <x:c r="G200" s="142"/>
      <x:c r="H200" s="142"/>
      <x:c r="I200" s="142"/>
      <x:c r="J200" s="208"/>
      <x:c r="K200" s="208"/>
      <x:c r="L200" s="208"/>
      <x:c r="M200" s="202" t="str">
        <x:f>IF(A200="","",IF(AND(K200&lt;&gt;"",L200&lt;&gt;""),IF(AND(TODAY()&gt;=K200,TODAY()&lt;=L200),"Ativo",IF(TODAY()&gt;L200,"Encerrado","Pendente")),IF(K200&lt;&gt;"","Sem prazo","Pendente")))</x:f>
      </x:c>
      <x:c r="N200" s="142"/>
      <x:c r="O200" s="142"/>
    </x:row>
    <x:row r="201" ht="19" customHeight="1">
      <x:c r="A201" s="142"/>
      <x:c r="B201" s="142"/>
      <x:c r="C201" s="142"/>
      <x:c r="D201" s="142"/>
      <x:c r="E201" s="142"/>
      <x:c r="F201" s="142"/>
      <x:c r="G201" s="142"/>
      <x:c r="H201" s="142"/>
      <x:c r="I201" s="142"/>
      <x:c r="J201" s="208"/>
      <x:c r="K201" s="208"/>
      <x:c r="L201" s="208"/>
      <x:c r="M201" s="202" t="str">
        <x:f>IF(A201="","",IF(AND(K201&lt;&gt;"",L201&lt;&gt;""),IF(AND(TODAY()&gt;=K201,TODAY()&lt;=L201),"Ativo",IF(TODAY()&gt;L201,"Encerrado","Pendente")),IF(K201&lt;&gt;"","Sem prazo","Pendente")))</x:f>
      </x:c>
      <x:c r="N201" s="142"/>
      <x:c r="O201" s="142"/>
    </x:row>
    <x:row r="202" ht="19" customHeight="1">
      <x:c r="A202" s="142"/>
      <x:c r="B202" s="142"/>
      <x:c r="C202" s="142"/>
      <x:c r="D202" s="142"/>
      <x:c r="E202" s="142"/>
      <x:c r="F202" s="142"/>
      <x:c r="G202" s="142"/>
      <x:c r="H202" s="142"/>
      <x:c r="I202" s="142"/>
      <x:c r="J202" s="208"/>
      <x:c r="K202" s="208"/>
      <x:c r="L202" s="208"/>
      <x:c r="M202" s="202" t="str">
        <x:f>IF(A202="","",IF(AND(K202&lt;&gt;"",L202&lt;&gt;""),IF(AND(TODAY()&gt;=K202,TODAY()&lt;=L202),"Ativo",IF(TODAY()&gt;L202,"Encerrado","Pendente")),IF(K202&lt;&gt;"","Sem prazo","Pendente")))</x:f>
      </x:c>
      <x:c r="N202" s="142"/>
      <x:c r="O202" s="142"/>
    </x:row>
    <x:row r="203" ht="19" customHeight="1">
      <x:c r="A203" s="142"/>
      <x:c r="B203" s="142"/>
      <x:c r="C203" s="142"/>
      <x:c r="D203" s="142"/>
      <x:c r="E203" s="142"/>
      <x:c r="F203" s="142"/>
      <x:c r="G203" s="142"/>
      <x:c r="H203" s="142"/>
      <x:c r="I203" s="142"/>
      <x:c r="J203" s="208"/>
      <x:c r="K203" s="208"/>
      <x:c r="L203" s="208"/>
      <x:c r="M203" s="202" t="str">
        <x:f>IF(A203="","",IF(AND(K203&lt;&gt;"",L203&lt;&gt;""),IF(AND(TODAY()&gt;=K203,TODAY()&lt;=L203),"Ativo",IF(TODAY()&gt;L203,"Encerrado","Pendente")),IF(K203&lt;&gt;"","Sem prazo","Pendente")))</x:f>
      </x:c>
      <x:c r="N203" s="142"/>
      <x:c r="O203" s="142"/>
    </x:row>
    <x:row r="204" ht="19" customHeight="1">
      <x:c r="A204" s="142"/>
      <x:c r="B204" s="142"/>
      <x:c r="C204" s="142"/>
      <x:c r="D204" s="142"/>
      <x:c r="E204" s="142"/>
      <x:c r="F204" s="142"/>
      <x:c r="G204" s="142"/>
      <x:c r="H204" s="142"/>
      <x:c r="I204" s="142"/>
      <x:c r="J204" s="208"/>
      <x:c r="K204" s="208"/>
      <x:c r="L204" s="208"/>
      <x:c r="M204" s="202" t="str">
        <x:f>IF(A204="","",IF(AND(K204&lt;&gt;"",L204&lt;&gt;""),IF(AND(TODAY()&gt;=K204,TODAY()&lt;=L204),"Ativo",IF(TODAY()&gt;L204,"Encerrado","Pendente")),IF(K204&lt;&gt;"","Sem prazo","Pendente")))</x:f>
      </x:c>
      <x:c r="N204" s="142"/>
      <x:c r="O204" s="142"/>
    </x:row>
    <x:row r="205" ht="19" customHeight="1">
      <x:c r="A205" s="142"/>
      <x:c r="B205" s="142"/>
      <x:c r="C205" s="142"/>
      <x:c r="D205" s="142"/>
      <x:c r="E205" s="142"/>
      <x:c r="F205" s="142"/>
      <x:c r="G205" s="142"/>
      <x:c r="H205" s="142"/>
      <x:c r="I205" s="142"/>
      <x:c r="J205" s="208"/>
      <x:c r="K205" s="208"/>
      <x:c r="L205" s="208"/>
      <x:c r="M205" s="202" t="str">
        <x:f>IF(A205="","",IF(AND(K205&lt;&gt;"",L205&lt;&gt;""),IF(AND(TODAY()&gt;=K205,TODAY()&lt;=L205),"Ativo",IF(TODAY()&gt;L205,"Encerrado","Pendente")),IF(K205&lt;&gt;"","Sem prazo","Pendente")))</x:f>
      </x:c>
      <x:c r="N205" s="142"/>
      <x:c r="O205" s="142"/>
    </x:row>
    <x:row r="206" ht="19" customHeight="1">
      <x:c r="A206" s="142"/>
      <x:c r="B206" s="142"/>
      <x:c r="C206" s="142"/>
      <x:c r="D206" s="142"/>
      <x:c r="E206" s="142"/>
      <x:c r="F206" s="142"/>
      <x:c r="G206" s="142"/>
      <x:c r="H206" s="142"/>
      <x:c r="I206" s="142"/>
      <x:c r="J206" s="208"/>
      <x:c r="K206" s="208"/>
      <x:c r="L206" s="208"/>
      <x:c r="M206" s="202" t="str">
        <x:f>IF(A206="","",IF(AND(K206&lt;&gt;"",L206&lt;&gt;""),IF(AND(TODAY()&gt;=K206,TODAY()&lt;=L206),"Ativo",IF(TODAY()&gt;L206,"Encerrado","Pendente")),IF(K206&lt;&gt;"","Sem prazo","Pendente")))</x:f>
      </x:c>
      <x:c r="N206" s="142"/>
      <x:c r="O206" s="142"/>
    </x:row>
    <x:row r="207" ht="19" customHeight="1">
      <x:c r="A207" s="142"/>
      <x:c r="B207" s="142"/>
      <x:c r="C207" s="142"/>
      <x:c r="D207" s="142"/>
      <x:c r="E207" s="142"/>
      <x:c r="F207" s="142"/>
      <x:c r="G207" s="142"/>
      <x:c r="H207" s="142"/>
      <x:c r="I207" s="142"/>
      <x:c r="J207" s="208"/>
      <x:c r="K207" s="208"/>
      <x:c r="L207" s="208"/>
      <x:c r="M207" s="202" t="str">
        <x:f>IF(A207="","",IF(AND(K207&lt;&gt;"",L207&lt;&gt;""),IF(AND(TODAY()&gt;=K207,TODAY()&lt;=L207),"Ativo",IF(TODAY()&gt;L207,"Encerrado","Pendente")),IF(K207&lt;&gt;"","Sem prazo","Pendente")))</x:f>
      </x:c>
      <x:c r="N207" s="142"/>
      <x:c r="O207" s="142"/>
    </x:row>
    <x:row r="208" ht="19" customHeight="1">
      <x:c r="A208" s="142"/>
      <x:c r="B208" s="142"/>
      <x:c r="C208" s="142"/>
      <x:c r="D208" s="142"/>
      <x:c r="E208" s="142"/>
      <x:c r="F208" s="142"/>
      <x:c r="G208" s="142"/>
      <x:c r="H208" s="142"/>
      <x:c r="I208" s="142"/>
      <x:c r="J208" s="208"/>
      <x:c r="K208" s="208"/>
      <x:c r="L208" s="208"/>
      <x:c r="M208" s="202" t="str">
        <x:f>IF(A208="","",IF(AND(K208&lt;&gt;"",L208&lt;&gt;""),IF(AND(TODAY()&gt;=K208,TODAY()&lt;=L208),"Ativo",IF(TODAY()&gt;L208,"Encerrado","Pendente")),IF(K208&lt;&gt;"","Sem prazo","Pendente")))</x:f>
      </x:c>
      <x:c r="N208" s="142"/>
      <x:c r="O208" s="142"/>
    </x:row>
    <x:row r="209" ht="19" customHeight="1">
      <x:c r="A209" s="142"/>
      <x:c r="B209" s="142"/>
      <x:c r="C209" s="142"/>
      <x:c r="D209" s="142"/>
      <x:c r="E209" s="142"/>
      <x:c r="F209" s="142"/>
      <x:c r="G209" s="142"/>
      <x:c r="H209" s="142"/>
      <x:c r="I209" s="142"/>
      <x:c r="J209" s="208"/>
      <x:c r="K209" s="208"/>
      <x:c r="L209" s="208"/>
      <x:c r="M209" s="202" t="str">
        <x:f>IF(A209="","",IF(AND(K209&lt;&gt;"",L209&lt;&gt;""),IF(AND(TODAY()&gt;=K209,TODAY()&lt;=L209),"Ativo",IF(TODAY()&gt;L209,"Encerrado","Pendente")),IF(K209&lt;&gt;"","Sem prazo","Pendente")))</x:f>
      </x:c>
      <x:c r="N209" s="142"/>
      <x:c r="O209" s="142"/>
    </x:row>
    <x:row r="210" ht="19" customHeight="1">
      <x:c r="A210" s="142"/>
      <x:c r="B210" s="142"/>
      <x:c r="C210" s="142"/>
      <x:c r="D210" s="142"/>
      <x:c r="E210" s="142"/>
      <x:c r="F210" s="142"/>
      <x:c r="G210" s="142"/>
      <x:c r="H210" s="142"/>
      <x:c r="I210" s="142"/>
      <x:c r="J210" s="208"/>
      <x:c r="K210" s="208"/>
      <x:c r="L210" s="208"/>
      <x:c r="M210" s="202" t="str">
        <x:f>IF(A210="","",IF(AND(K210&lt;&gt;"",L210&lt;&gt;""),IF(AND(TODAY()&gt;=K210,TODAY()&lt;=L210),"Ativo",IF(TODAY()&gt;L210,"Encerrado","Pendente")),IF(K210&lt;&gt;"","Sem prazo","Pendente")))</x:f>
      </x:c>
      <x:c r="N210" s="142"/>
      <x:c r="O210" s="142"/>
    </x:row>
    <x:row r="211" ht="19" customHeight="1">
      <x:c r="A211" s="142"/>
      <x:c r="B211" s="142"/>
      <x:c r="C211" s="142"/>
      <x:c r="D211" s="142"/>
      <x:c r="E211" s="142"/>
      <x:c r="F211" s="142"/>
      <x:c r="G211" s="142"/>
      <x:c r="H211" s="142"/>
      <x:c r="I211" s="142"/>
      <x:c r="J211" s="208"/>
      <x:c r="K211" s="208"/>
      <x:c r="L211" s="208"/>
      <x:c r="M211" s="202" t="str">
        <x:f>IF(A211="","",IF(AND(K211&lt;&gt;"",L211&lt;&gt;""),IF(AND(TODAY()&gt;=K211,TODAY()&lt;=L211),"Ativo",IF(TODAY()&gt;L211,"Encerrado","Pendente")),IF(K211&lt;&gt;"","Sem prazo","Pendente")))</x:f>
      </x:c>
      <x:c r="N211" s="142"/>
      <x:c r="O211" s="142"/>
    </x:row>
    <x:row r="212" ht="19" customHeight="1">
      <x:c r="A212" s="142"/>
      <x:c r="B212" s="142"/>
      <x:c r="C212" s="142"/>
      <x:c r="D212" s="142"/>
      <x:c r="E212" s="142"/>
      <x:c r="F212" s="142"/>
      <x:c r="G212" s="142"/>
      <x:c r="H212" s="142"/>
      <x:c r="I212" s="142"/>
      <x:c r="J212" s="208"/>
      <x:c r="K212" s="208"/>
      <x:c r="L212" s="208"/>
      <x:c r="M212" s="202" t="str">
        <x:f>IF(A212="","",IF(AND(K212&lt;&gt;"",L212&lt;&gt;""),IF(AND(TODAY()&gt;=K212,TODAY()&lt;=L212),"Ativo",IF(TODAY()&gt;L212,"Encerrado","Pendente")),IF(K212&lt;&gt;"","Sem prazo","Pendente")))</x:f>
      </x:c>
      <x:c r="N212" s="142"/>
      <x:c r="O212" s="142"/>
    </x:row>
    <x:row r="213" ht="19" customHeight="1">
      <x:c r="A213" s="142"/>
      <x:c r="B213" s="142"/>
      <x:c r="C213" s="142"/>
      <x:c r="D213" s="142"/>
      <x:c r="E213" s="142"/>
      <x:c r="F213" s="142"/>
      <x:c r="G213" s="142"/>
      <x:c r="H213" s="142"/>
      <x:c r="I213" s="142"/>
      <x:c r="J213" s="208"/>
      <x:c r="K213" s="208"/>
      <x:c r="L213" s="208"/>
      <x:c r="M213" s="202" t="str">
        <x:f>IF(A213="","",IF(AND(K213&lt;&gt;"",L213&lt;&gt;""),IF(AND(TODAY()&gt;=K213,TODAY()&lt;=L213),"Ativo",IF(TODAY()&gt;L213,"Encerrado","Pendente")),IF(K213&lt;&gt;"","Sem prazo","Pendente")))</x:f>
      </x:c>
      <x:c r="N213" s="142"/>
      <x:c r="O213" s="142"/>
    </x:row>
    <x:row r="214" ht="19" customHeight="1">
      <x:c r="A214" s="142"/>
      <x:c r="B214" s="142"/>
      <x:c r="C214" s="142"/>
      <x:c r="D214" s="142"/>
      <x:c r="E214" s="142"/>
      <x:c r="F214" s="142"/>
      <x:c r="G214" s="142"/>
      <x:c r="H214" s="142"/>
      <x:c r="I214" s="142"/>
      <x:c r="J214" s="208"/>
      <x:c r="K214" s="208"/>
      <x:c r="L214" s="208"/>
      <x:c r="M214" s="202" t="str">
        <x:f>IF(A214="","",IF(AND(K214&lt;&gt;"",L214&lt;&gt;""),IF(AND(TODAY()&gt;=K214,TODAY()&lt;=L214),"Ativo",IF(TODAY()&gt;L214,"Encerrado","Pendente")),IF(K214&lt;&gt;"","Sem prazo","Pendente")))</x:f>
      </x:c>
      <x:c r="N214" s="142"/>
      <x:c r="O214" s="142"/>
    </x:row>
    <x:row r="215" ht="19" customHeight="1">
      <x:c r="A215" s="142"/>
      <x:c r="B215" s="142"/>
      <x:c r="C215" s="142"/>
      <x:c r="D215" s="142"/>
      <x:c r="E215" s="142"/>
      <x:c r="F215" s="142"/>
      <x:c r="G215" s="142"/>
      <x:c r="H215" s="142"/>
      <x:c r="I215" s="142"/>
      <x:c r="J215" s="208"/>
      <x:c r="K215" s="208"/>
      <x:c r="L215" s="208"/>
      <x:c r="M215" s="202" t="str">
        <x:f>IF(A215="","",IF(AND(K215&lt;&gt;"",L215&lt;&gt;""),IF(AND(TODAY()&gt;=K215,TODAY()&lt;=L215),"Ativo",IF(TODAY()&gt;L215,"Encerrado","Pendente")),IF(K215&lt;&gt;"","Sem prazo","Pendente")))</x:f>
      </x:c>
      <x:c r="N215" s="142"/>
      <x:c r="O215" s="142"/>
    </x:row>
    <x:row r="216" ht="19" customHeight="1">
      <x:c r="A216" s="142"/>
      <x:c r="B216" s="142"/>
      <x:c r="C216" s="142"/>
      <x:c r="D216" s="142"/>
      <x:c r="E216" s="142"/>
      <x:c r="F216" s="142"/>
      <x:c r="G216" s="142"/>
      <x:c r="H216" s="142"/>
      <x:c r="I216" s="142"/>
      <x:c r="J216" s="208"/>
      <x:c r="K216" s="208"/>
      <x:c r="L216" s="208"/>
      <x:c r="M216" s="202" t="str">
        <x:f>IF(A216="","",IF(AND(K216&lt;&gt;"",L216&lt;&gt;""),IF(AND(TODAY()&gt;=K216,TODAY()&lt;=L216),"Ativo",IF(TODAY()&gt;L216,"Encerrado","Pendente")),IF(K216&lt;&gt;"","Sem prazo","Pendente")))</x:f>
      </x:c>
      <x:c r="N216" s="142"/>
      <x:c r="O216" s="142"/>
    </x:row>
    <x:row r="217" ht="19" customHeight="1">
      <x:c r="A217" s="142"/>
      <x:c r="B217" s="142"/>
      <x:c r="C217" s="142"/>
      <x:c r="D217" s="142"/>
      <x:c r="E217" s="142"/>
      <x:c r="F217" s="142"/>
      <x:c r="G217" s="142"/>
      <x:c r="H217" s="142"/>
      <x:c r="I217" s="142"/>
      <x:c r="J217" s="208"/>
      <x:c r="K217" s="208"/>
      <x:c r="L217" s="208"/>
      <x:c r="M217" s="202" t="str">
        <x:f>IF(A217="","",IF(AND(K217&lt;&gt;"",L217&lt;&gt;""),IF(AND(TODAY()&gt;=K217,TODAY()&lt;=L217),"Ativo",IF(TODAY()&gt;L217,"Encerrado","Pendente")),IF(K217&lt;&gt;"","Sem prazo","Pendente")))</x:f>
      </x:c>
      <x:c r="N217" s="142"/>
      <x:c r="O217" s="142"/>
    </x:row>
    <x:row r="218" ht="19" customHeight="1">
      <x:c r="A218" s="142"/>
      <x:c r="B218" s="142"/>
      <x:c r="C218" s="142"/>
      <x:c r="D218" s="142"/>
      <x:c r="E218" s="142"/>
      <x:c r="F218" s="142"/>
      <x:c r="G218" s="142"/>
      <x:c r="H218" s="142"/>
      <x:c r="I218" s="142"/>
      <x:c r="J218" s="208"/>
      <x:c r="K218" s="208"/>
      <x:c r="L218" s="208"/>
      <x:c r="M218" s="202" t="str">
        <x:f>IF(A218="","",IF(AND(K218&lt;&gt;"",L218&lt;&gt;""),IF(AND(TODAY()&gt;=K218,TODAY()&lt;=L218),"Ativo",IF(TODAY()&gt;L218,"Encerrado","Pendente")),IF(K218&lt;&gt;"","Sem prazo","Pendente")))</x:f>
      </x:c>
      <x:c r="N218" s="142"/>
      <x:c r="O218" s="142"/>
    </x:row>
    <x:row r="219" ht="19" customHeight="1">
      <x:c r="A219" s="142"/>
      <x:c r="B219" s="142"/>
      <x:c r="C219" s="142"/>
      <x:c r="D219" s="142"/>
      <x:c r="E219" s="142"/>
      <x:c r="F219" s="142"/>
      <x:c r="G219" s="142"/>
      <x:c r="H219" s="142"/>
      <x:c r="I219" s="142"/>
      <x:c r="J219" s="208"/>
      <x:c r="K219" s="208"/>
      <x:c r="L219" s="208"/>
      <x:c r="M219" s="202" t="str">
        <x:f>IF(A219="","",IF(AND(K219&lt;&gt;"",L219&lt;&gt;""),IF(AND(TODAY()&gt;=K219,TODAY()&lt;=L219),"Ativo",IF(TODAY()&gt;L219,"Encerrado","Pendente")),IF(K219&lt;&gt;"","Sem prazo","Pendente")))</x:f>
      </x:c>
      <x:c r="N219" s="142"/>
      <x:c r="O219" s="142"/>
    </x:row>
    <x:row r="220" ht="19" customHeight="1">
      <x:c r="A220" s="142"/>
      <x:c r="B220" s="142"/>
      <x:c r="C220" s="142"/>
      <x:c r="D220" s="142"/>
      <x:c r="E220" s="142"/>
      <x:c r="F220" s="142"/>
      <x:c r="G220" s="142"/>
      <x:c r="H220" s="142"/>
      <x:c r="I220" s="142"/>
      <x:c r="J220" s="208"/>
      <x:c r="K220" s="208"/>
      <x:c r="L220" s="208"/>
      <x:c r="M220" s="202" t="str">
        <x:f>IF(A220="","",IF(AND(K220&lt;&gt;"",L220&lt;&gt;""),IF(AND(TODAY()&gt;=K220,TODAY()&lt;=L220),"Ativo",IF(TODAY()&gt;L220,"Encerrado","Pendente")),IF(K220&lt;&gt;"","Sem prazo","Pendente")))</x:f>
      </x:c>
      <x:c r="N220" s="142"/>
      <x:c r="O220" s="142"/>
    </x:row>
    <x:row r="221" ht="19" customHeight="1">
      <x:c r="A221" s="142"/>
      <x:c r="B221" s="142"/>
      <x:c r="C221" s="142"/>
      <x:c r="D221" s="142"/>
      <x:c r="E221" s="142"/>
      <x:c r="F221" s="142"/>
      <x:c r="G221" s="142"/>
      <x:c r="H221" s="142"/>
      <x:c r="I221" s="142"/>
      <x:c r="J221" s="208"/>
      <x:c r="K221" s="208"/>
      <x:c r="L221" s="208"/>
      <x:c r="M221" s="202" t="str">
        <x:f>IF(A221="","",IF(AND(K221&lt;&gt;"",L221&lt;&gt;""),IF(AND(TODAY()&gt;=K221,TODAY()&lt;=L221),"Ativo",IF(TODAY()&gt;L221,"Encerrado","Pendente")),IF(K221&lt;&gt;"","Sem prazo","Pendente")))</x:f>
      </x:c>
      <x:c r="N221" s="142"/>
      <x:c r="O221" s="142"/>
    </x:row>
    <x:row r="222" ht="19" customHeight="1">
      <x:c r="A222" s="142"/>
      <x:c r="B222" s="142"/>
      <x:c r="C222" s="142"/>
      <x:c r="D222" s="142"/>
      <x:c r="E222" s="142"/>
      <x:c r="F222" s="142"/>
      <x:c r="G222" s="142"/>
      <x:c r="H222" s="142"/>
      <x:c r="I222" s="142"/>
      <x:c r="J222" s="208"/>
      <x:c r="K222" s="208"/>
      <x:c r="L222" s="208"/>
      <x:c r="M222" s="202" t="str">
        <x:f>IF(A222="","",IF(AND(K222&lt;&gt;"",L222&lt;&gt;""),IF(AND(TODAY()&gt;=K222,TODAY()&lt;=L222),"Ativo",IF(TODAY()&gt;L222,"Encerrado","Pendente")),IF(K222&lt;&gt;"","Sem prazo","Pendente")))</x:f>
      </x:c>
      <x:c r="N222" s="142"/>
      <x:c r="O222" s="142"/>
    </x:row>
    <x:row r="223" ht="19" customHeight="1">
      <x:c r="A223" s="142"/>
      <x:c r="B223" s="142"/>
      <x:c r="C223" s="142"/>
      <x:c r="D223" s="142"/>
      <x:c r="E223" s="142"/>
      <x:c r="F223" s="142"/>
      <x:c r="G223" s="142"/>
      <x:c r="H223" s="142"/>
      <x:c r="I223" s="142"/>
      <x:c r="J223" s="208"/>
      <x:c r="K223" s="208"/>
      <x:c r="L223" s="208"/>
      <x:c r="M223" s="202" t="str">
        <x:f>IF(A223="","",IF(AND(K223&lt;&gt;"",L223&lt;&gt;""),IF(AND(TODAY()&gt;=K223,TODAY()&lt;=L223),"Ativo",IF(TODAY()&gt;L223,"Encerrado","Pendente")),IF(K223&lt;&gt;"","Sem prazo","Pendente")))</x:f>
      </x:c>
      <x:c r="N223" s="142"/>
      <x:c r="O223" s="142"/>
    </x:row>
    <x:row r="224" ht="19" customHeight="1">
      <x:c r="A224" s="142"/>
      <x:c r="B224" s="142"/>
      <x:c r="C224" s="142"/>
      <x:c r="D224" s="142"/>
      <x:c r="E224" s="142"/>
      <x:c r="F224" s="142"/>
      <x:c r="G224" s="142"/>
      <x:c r="H224" s="142"/>
      <x:c r="I224" s="142"/>
      <x:c r="J224" s="208"/>
      <x:c r="K224" s="208"/>
      <x:c r="L224" s="208"/>
      <x:c r="M224" s="202" t="str">
        <x:f>IF(A224="","",IF(AND(K224&lt;&gt;"",L224&lt;&gt;""),IF(AND(TODAY()&gt;=K224,TODAY()&lt;=L224),"Ativo",IF(TODAY()&gt;L224,"Encerrado","Pendente")),IF(K224&lt;&gt;"","Sem prazo","Pendente")))</x:f>
      </x:c>
      <x:c r="N224" s="142"/>
      <x:c r="O224" s="142"/>
    </x:row>
    <x:row r="225" ht="19" customHeight="1">
      <x:c r="A225" s="142"/>
      <x:c r="B225" s="142"/>
      <x:c r="C225" s="142"/>
      <x:c r="D225" s="142"/>
      <x:c r="E225" s="142"/>
      <x:c r="F225" s="142"/>
      <x:c r="G225" s="142"/>
      <x:c r="H225" s="142"/>
      <x:c r="I225" s="142"/>
      <x:c r="J225" s="208"/>
      <x:c r="K225" s="208"/>
      <x:c r="L225" s="208"/>
      <x:c r="M225" s="202" t="str">
        <x:f>IF(A225="","",IF(AND(K225&lt;&gt;"",L225&lt;&gt;""),IF(AND(TODAY()&gt;=K225,TODAY()&lt;=L225),"Ativo",IF(TODAY()&gt;L225,"Encerrado","Pendente")),IF(K225&lt;&gt;"","Sem prazo","Pendente")))</x:f>
      </x:c>
      <x:c r="N225" s="142"/>
      <x:c r="O225" s="142"/>
    </x:row>
    <x:row r="226" ht="19" customHeight="1">
      <x:c r="A226" s="142"/>
      <x:c r="B226" s="142"/>
      <x:c r="C226" s="142"/>
      <x:c r="D226" s="142"/>
      <x:c r="E226" s="142"/>
      <x:c r="F226" s="142"/>
      <x:c r="G226" s="142"/>
      <x:c r="H226" s="142"/>
      <x:c r="I226" s="142"/>
      <x:c r="J226" s="208"/>
      <x:c r="K226" s="208"/>
      <x:c r="L226" s="208"/>
      <x:c r="M226" s="202" t="str">
        <x:f>IF(A226="","",IF(AND(K226&lt;&gt;"",L226&lt;&gt;""),IF(AND(TODAY()&gt;=K226,TODAY()&lt;=L226),"Ativo",IF(TODAY()&gt;L226,"Encerrado","Pendente")),IF(K226&lt;&gt;"","Sem prazo","Pendente")))</x:f>
      </x:c>
      <x:c r="N226" s="142"/>
      <x:c r="O226" s="142"/>
    </x:row>
    <x:row r="227" ht="19" customHeight="1">
      <x:c r="A227" s="142"/>
      <x:c r="B227" s="142"/>
      <x:c r="C227" s="142"/>
      <x:c r="D227" s="142"/>
      <x:c r="E227" s="142"/>
      <x:c r="F227" s="142"/>
      <x:c r="G227" s="142"/>
      <x:c r="H227" s="142"/>
      <x:c r="I227" s="142"/>
      <x:c r="J227" s="208"/>
      <x:c r="K227" s="208"/>
      <x:c r="L227" s="208"/>
      <x:c r="M227" s="202" t="str">
        <x:f>IF(A227="","",IF(AND(K227&lt;&gt;"",L227&lt;&gt;""),IF(AND(TODAY()&gt;=K227,TODAY()&lt;=L227),"Ativo",IF(TODAY()&gt;L227,"Encerrado","Pendente")),IF(K227&lt;&gt;"","Sem prazo","Pendente")))</x:f>
      </x:c>
      <x:c r="N227" s="142"/>
      <x:c r="O227" s="142"/>
    </x:row>
    <x:row r="228" ht="19" customHeight="1">
      <x:c r="A228" s="142"/>
      <x:c r="B228" s="142"/>
      <x:c r="C228" s="142"/>
      <x:c r="D228" s="142"/>
      <x:c r="E228" s="142"/>
      <x:c r="F228" s="142"/>
      <x:c r="G228" s="142"/>
      <x:c r="H228" s="142"/>
      <x:c r="I228" s="142"/>
      <x:c r="J228" s="208"/>
      <x:c r="K228" s="208"/>
      <x:c r="L228" s="208"/>
      <x:c r="M228" s="202" t="str">
        <x:f>IF(A228="","",IF(AND(K228&lt;&gt;"",L228&lt;&gt;""),IF(AND(TODAY()&gt;=K228,TODAY()&lt;=L228),"Ativo",IF(TODAY()&gt;L228,"Encerrado","Pendente")),IF(K228&lt;&gt;"","Sem prazo","Pendente")))</x:f>
      </x:c>
      <x:c r="N228" s="142"/>
      <x:c r="O228" s="142"/>
    </x:row>
    <x:row r="229" ht="19" customHeight="1">
      <x:c r="A229" s="142"/>
      <x:c r="B229" s="142"/>
      <x:c r="C229" s="142"/>
      <x:c r="D229" s="142"/>
      <x:c r="E229" s="142"/>
      <x:c r="F229" s="142"/>
      <x:c r="G229" s="142"/>
      <x:c r="H229" s="142"/>
      <x:c r="I229" s="142"/>
      <x:c r="J229" s="208"/>
      <x:c r="K229" s="208"/>
      <x:c r="L229" s="208"/>
      <x:c r="M229" s="202" t="str">
        <x:f>IF(A229="","",IF(AND(K229&lt;&gt;"",L229&lt;&gt;""),IF(AND(TODAY()&gt;=K229,TODAY()&lt;=L229),"Ativo",IF(TODAY()&gt;L229,"Encerrado","Pendente")),IF(K229&lt;&gt;"","Sem prazo","Pendente")))</x:f>
      </x:c>
      <x:c r="N229" s="142"/>
      <x:c r="O229" s="142"/>
    </x:row>
    <x:row r="230" ht="19" customHeight="1">
      <x:c r="A230" s="142"/>
      <x:c r="B230" s="142"/>
      <x:c r="C230" s="142"/>
      <x:c r="D230" s="142"/>
      <x:c r="E230" s="142"/>
      <x:c r="F230" s="142"/>
      <x:c r="G230" s="142"/>
      <x:c r="H230" s="142"/>
      <x:c r="I230" s="142"/>
      <x:c r="J230" s="208"/>
      <x:c r="K230" s="208"/>
      <x:c r="L230" s="208"/>
      <x:c r="M230" s="202" t="str">
        <x:f>IF(A230="","",IF(AND(K230&lt;&gt;"",L230&lt;&gt;""),IF(AND(TODAY()&gt;=K230,TODAY()&lt;=L230),"Ativo",IF(TODAY()&gt;L230,"Encerrado","Pendente")),IF(K230&lt;&gt;"","Sem prazo","Pendente")))</x:f>
      </x:c>
      <x:c r="N230" s="142"/>
      <x:c r="O230" s="142"/>
    </x:row>
    <x:row r="231" ht="19" customHeight="1">
      <x:c r="A231" s="142"/>
      <x:c r="B231" s="142"/>
      <x:c r="C231" s="142"/>
      <x:c r="D231" s="142"/>
      <x:c r="E231" s="142"/>
      <x:c r="F231" s="142"/>
      <x:c r="G231" s="142"/>
      <x:c r="H231" s="142"/>
      <x:c r="I231" s="142"/>
      <x:c r="J231" s="208"/>
      <x:c r="K231" s="208"/>
      <x:c r="L231" s="208"/>
      <x:c r="M231" s="202" t="str">
        <x:f>IF(A231="","",IF(AND(K231&lt;&gt;"",L231&lt;&gt;""),IF(AND(TODAY()&gt;=K231,TODAY()&lt;=L231),"Ativo",IF(TODAY()&gt;L231,"Encerrado","Pendente")),IF(K231&lt;&gt;"","Sem prazo","Pendente")))</x:f>
      </x:c>
      <x:c r="N231" s="142"/>
      <x:c r="O231" s="142"/>
    </x:row>
    <x:row r="232" ht="19" customHeight="1">
      <x:c r="A232" s="142"/>
      <x:c r="B232" s="142"/>
      <x:c r="C232" s="142"/>
      <x:c r="D232" s="142"/>
      <x:c r="E232" s="142"/>
      <x:c r="F232" s="142"/>
      <x:c r="G232" s="142"/>
      <x:c r="H232" s="142"/>
      <x:c r="I232" s="142"/>
      <x:c r="J232" s="208"/>
      <x:c r="K232" s="208"/>
      <x:c r="L232" s="208"/>
      <x:c r="M232" s="202" t="str">
        <x:f>IF(A232="","",IF(AND(K232&lt;&gt;"",L232&lt;&gt;""),IF(AND(TODAY()&gt;=K232,TODAY()&lt;=L232),"Ativo",IF(TODAY()&gt;L232,"Encerrado","Pendente")),IF(K232&lt;&gt;"","Sem prazo","Pendente")))</x:f>
      </x:c>
      <x:c r="N232" s="142"/>
      <x:c r="O232" s="142"/>
    </x:row>
    <x:row r="233" ht="19" customHeight="1">
      <x:c r="A233" s="142"/>
      <x:c r="B233" s="142"/>
      <x:c r="C233" s="142"/>
      <x:c r="D233" s="142"/>
      <x:c r="E233" s="142"/>
      <x:c r="F233" s="142"/>
      <x:c r="G233" s="142"/>
      <x:c r="H233" s="142"/>
      <x:c r="I233" s="142"/>
      <x:c r="J233" s="208"/>
      <x:c r="K233" s="208"/>
      <x:c r="L233" s="208"/>
      <x:c r="M233" s="202" t="str">
        <x:f>IF(A233="","",IF(AND(K233&lt;&gt;"",L233&lt;&gt;""),IF(AND(TODAY()&gt;=K233,TODAY()&lt;=L233),"Ativo",IF(TODAY()&gt;L233,"Encerrado","Pendente")),IF(K233&lt;&gt;"","Sem prazo","Pendente")))</x:f>
      </x:c>
      <x:c r="N233" s="142"/>
      <x:c r="O233" s="142"/>
    </x:row>
    <x:row r="234" ht="19" customHeight="1">
      <x:c r="A234" s="142"/>
      <x:c r="B234" s="142"/>
      <x:c r="C234" s="142"/>
      <x:c r="D234" s="142"/>
      <x:c r="E234" s="142"/>
      <x:c r="F234" s="142"/>
      <x:c r="G234" s="142"/>
      <x:c r="H234" s="142"/>
      <x:c r="I234" s="142"/>
      <x:c r="J234" s="208"/>
      <x:c r="K234" s="208"/>
      <x:c r="L234" s="208"/>
      <x:c r="M234" s="202" t="str">
        <x:f>IF(A234="","",IF(AND(K234&lt;&gt;"",L234&lt;&gt;""),IF(AND(TODAY()&gt;=K234,TODAY()&lt;=L234),"Ativo",IF(TODAY()&gt;L234,"Encerrado","Pendente")),IF(K234&lt;&gt;"","Sem prazo","Pendente")))</x:f>
      </x:c>
      <x:c r="N234" s="142"/>
      <x:c r="O234" s="142"/>
    </x:row>
    <x:row r="235" ht="19" customHeight="1">
      <x:c r="A235" s="142"/>
      <x:c r="B235" s="142"/>
      <x:c r="C235" s="142"/>
      <x:c r="D235" s="142"/>
      <x:c r="E235" s="142"/>
      <x:c r="F235" s="142"/>
      <x:c r="G235" s="142"/>
      <x:c r="H235" s="142"/>
      <x:c r="I235" s="142"/>
      <x:c r="J235" s="208"/>
      <x:c r="K235" s="208"/>
      <x:c r="L235" s="208"/>
      <x:c r="M235" s="202" t="str">
        <x:f>IF(A235="","",IF(AND(K235&lt;&gt;"",L235&lt;&gt;""),IF(AND(TODAY()&gt;=K235,TODAY()&lt;=L235),"Ativo",IF(TODAY()&gt;L235,"Encerrado","Pendente")),IF(K235&lt;&gt;"","Sem prazo","Pendente")))</x:f>
      </x:c>
      <x:c r="N235" s="142"/>
      <x:c r="O235" s="142"/>
    </x:row>
    <x:row r="236" ht="19" customHeight="1">
      <x:c r="A236" s="142"/>
      <x:c r="B236" s="142"/>
      <x:c r="C236" s="142"/>
      <x:c r="D236" s="142"/>
      <x:c r="E236" s="142"/>
      <x:c r="F236" s="142"/>
      <x:c r="G236" s="142"/>
      <x:c r="H236" s="142"/>
      <x:c r="I236" s="142"/>
      <x:c r="J236" s="208"/>
      <x:c r="K236" s="208"/>
      <x:c r="L236" s="208"/>
      <x:c r="M236" s="202" t="str">
        <x:f>IF(A236="","",IF(AND(K236&lt;&gt;"",L236&lt;&gt;""),IF(AND(TODAY()&gt;=K236,TODAY()&lt;=L236),"Ativo",IF(TODAY()&gt;L236,"Encerrado","Pendente")),IF(K236&lt;&gt;"","Sem prazo","Pendente")))</x:f>
      </x:c>
      <x:c r="N236" s="142"/>
      <x:c r="O236" s="142"/>
    </x:row>
    <x:row r="237" ht="19" customHeight="1">
      <x:c r="A237" s="142"/>
      <x:c r="B237" s="142"/>
      <x:c r="C237" s="142"/>
      <x:c r="D237" s="142"/>
      <x:c r="E237" s="142"/>
      <x:c r="F237" s="142"/>
      <x:c r="G237" s="142"/>
      <x:c r="H237" s="142"/>
      <x:c r="I237" s="142"/>
      <x:c r="J237" s="208"/>
      <x:c r="K237" s="208"/>
      <x:c r="L237" s="208"/>
      <x:c r="M237" s="202" t="str">
        <x:f>IF(A237="","",IF(AND(K237&lt;&gt;"",L237&lt;&gt;""),IF(AND(TODAY()&gt;=K237,TODAY()&lt;=L237),"Ativo",IF(TODAY()&gt;L237,"Encerrado","Pendente")),IF(K237&lt;&gt;"","Sem prazo","Pendente")))</x:f>
      </x:c>
      <x:c r="N237" s="142"/>
      <x:c r="O237" s="142"/>
    </x:row>
    <x:row r="238" ht="19" customHeight="1">
      <x:c r="A238" s="142"/>
      <x:c r="B238" s="142"/>
      <x:c r="C238" s="142"/>
      <x:c r="D238" s="142"/>
      <x:c r="E238" s="142"/>
      <x:c r="F238" s="142"/>
      <x:c r="G238" s="142"/>
      <x:c r="H238" s="142"/>
      <x:c r="I238" s="142"/>
      <x:c r="J238" s="208"/>
      <x:c r="K238" s="208"/>
      <x:c r="L238" s="208"/>
      <x:c r="M238" s="202" t="str">
        <x:f>IF(A238="","",IF(AND(K238&lt;&gt;"",L238&lt;&gt;""),IF(AND(TODAY()&gt;=K238,TODAY()&lt;=L238),"Ativo",IF(TODAY()&gt;L238,"Encerrado","Pendente")),IF(K238&lt;&gt;"","Sem prazo","Pendente")))</x:f>
      </x:c>
      <x:c r="N238" s="142"/>
      <x:c r="O238" s="142"/>
    </x:row>
    <x:row r="239" ht="19" customHeight="1">
      <x:c r="A239" s="142"/>
      <x:c r="B239" s="142"/>
      <x:c r="C239" s="142"/>
      <x:c r="D239" s="142"/>
      <x:c r="E239" s="142"/>
      <x:c r="F239" s="142"/>
      <x:c r="G239" s="142"/>
      <x:c r="H239" s="142"/>
      <x:c r="I239" s="142"/>
      <x:c r="J239" s="208"/>
      <x:c r="K239" s="208"/>
      <x:c r="L239" s="208"/>
      <x:c r="M239" s="202" t="str">
        <x:f>IF(A239="","",IF(AND(K239&lt;&gt;"",L239&lt;&gt;""),IF(AND(TODAY()&gt;=K239,TODAY()&lt;=L239),"Ativo",IF(TODAY()&gt;L239,"Encerrado","Pendente")),IF(K239&lt;&gt;"","Sem prazo","Pendente")))</x:f>
      </x:c>
      <x:c r="N239" s="142"/>
      <x:c r="O239" s="142"/>
    </x:row>
    <x:row r="240" ht="19" customHeight="1">
      <x:c r="A240" s="142"/>
      <x:c r="B240" s="142"/>
      <x:c r="C240" s="142"/>
      <x:c r="D240" s="142"/>
      <x:c r="E240" s="142"/>
      <x:c r="F240" s="142"/>
      <x:c r="G240" s="142"/>
      <x:c r="H240" s="142"/>
      <x:c r="I240" s="142"/>
      <x:c r="J240" s="208"/>
      <x:c r="K240" s="208"/>
      <x:c r="L240" s="208"/>
      <x:c r="M240" s="202" t="str">
        <x:f>IF(A240="","",IF(AND(K240&lt;&gt;"",L240&lt;&gt;""),IF(AND(TODAY()&gt;=K240,TODAY()&lt;=L240),"Ativo",IF(TODAY()&gt;L240,"Encerrado","Pendente")),IF(K240&lt;&gt;"","Sem prazo","Pendente")))</x:f>
      </x:c>
      <x:c r="N240" s="142"/>
      <x:c r="O240" s="142"/>
    </x:row>
    <x:row r="241" ht="19" customHeight="1">
      <x:c r="A241" s="142"/>
      <x:c r="B241" s="142"/>
      <x:c r="C241" s="142"/>
      <x:c r="D241" s="142"/>
      <x:c r="E241" s="142"/>
      <x:c r="F241" s="142"/>
      <x:c r="G241" s="142"/>
      <x:c r="H241" s="142"/>
      <x:c r="I241" s="142"/>
      <x:c r="J241" s="208"/>
      <x:c r="K241" s="208"/>
      <x:c r="L241" s="208"/>
      <x:c r="M241" s="202" t="str">
        <x:f>IF(A241="","",IF(AND(K241&lt;&gt;"",L241&lt;&gt;""),IF(AND(TODAY()&gt;=K241,TODAY()&lt;=L241),"Ativo",IF(TODAY()&gt;L241,"Encerrado","Pendente")),IF(K241&lt;&gt;"","Sem prazo","Pendente")))</x:f>
      </x:c>
      <x:c r="N241" s="142"/>
      <x:c r="O241" s="142"/>
    </x:row>
    <x:row r="242" ht="19" customHeight="1">
      <x:c r="A242" s="142"/>
      <x:c r="B242" s="142"/>
      <x:c r="C242" s="142"/>
      <x:c r="D242" s="142"/>
      <x:c r="E242" s="142"/>
      <x:c r="F242" s="142"/>
      <x:c r="G242" s="142"/>
      <x:c r="H242" s="142"/>
      <x:c r="I242" s="142"/>
      <x:c r="J242" s="208"/>
      <x:c r="K242" s="208"/>
      <x:c r="L242" s="208"/>
      <x:c r="M242" s="202" t="str">
        <x:f>IF(A242="","",IF(AND(K242&lt;&gt;"",L242&lt;&gt;""),IF(AND(TODAY()&gt;=K242,TODAY()&lt;=L242),"Ativo",IF(TODAY()&gt;L242,"Encerrado","Pendente")),IF(K242&lt;&gt;"","Sem prazo","Pendente")))</x:f>
      </x:c>
      <x:c r="N242" s="142"/>
      <x:c r="O242" s="142"/>
    </x:row>
    <x:row r="243" ht="19" customHeight="1">
      <x:c r="A243" s="142"/>
      <x:c r="B243" s="142"/>
      <x:c r="C243" s="142"/>
      <x:c r="D243" s="142"/>
      <x:c r="E243" s="142"/>
      <x:c r="F243" s="142"/>
      <x:c r="G243" s="142"/>
      <x:c r="H243" s="142"/>
      <x:c r="I243" s="142"/>
      <x:c r="J243" s="208"/>
      <x:c r="K243" s="208"/>
      <x:c r="L243" s="208"/>
      <x:c r="M243" s="202" t="str">
        <x:f>IF(A243="","",IF(AND(K243&lt;&gt;"",L243&lt;&gt;""),IF(AND(TODAY()&gt;=K243,TODAY()&lt;=L243),"Ativo",IF(TODAY()&gt;L243,"Encerrado","Pendente")),IF(K243&lt;&gt;"","Sem prazo","Pendente")))</x:f>
      </x:c>
      <x:c r="N243" s="142"/>
      <x:c r="O243" s="142"/>
    </x:row>
    <x:row r="244" ht="19" customHeight="1">
      <x:c r="A244" s="142"/>
      <x:c r="B244" s="142"/>
      <x:c r="C244" s="142"/>
      <x:c r="D244" s="142"/>
      <x:c r="E244" s="142"/>
      <x:c r="F244" s="142"/>
      <x:c r="G244" s="142"/>
      <x:c r="H244" s="142"/>
      <x:c r="I244" s="142"/>
      <x:c r="J244" s="208"/>
      <x:c r="K244" s="208"/>
      <x:c r="L244" s="208"/>
      <x:c r="M244" s="202" t="str">
        <x:f>IF(A244="","",IF(AND(K244&lt;&gt;"",L244&lt;&gt;""),IF(AND(TODAY()&gt;=K244,TODAY()&lt;=L244),"Ativo",IF(TODAY()&gt;L244,"Encerrado","Pendente")),IF(K244&lt;&gt;"","Sem prazo","Pendente")))</x:f>
      </x:c>
      <x:c r="N244" s="142"/>
      <x:c r="O244" s="142"/>
    </x:row>
    <x:row r="245" ht="19" customHeight="1">
      <x:c r="A245" s="142"/>
      <x:c r="B245" s="142"/>
      <x:c r="C245" s="142"/>
      <x:c r="D245" s="142"/>
      <x:c r="E245" s="142"/>
      <x:c r="F245" s="142"/>
      <x:c r="G245" s="142"/>
      <x:c r="H245" s="142"/>
      <x:c r="I245" s="142"/>
      <x:c r="J245" s="208"/>
      <x:c r="K245" s="208"/>
      <x:c r="L245" s="208"/>
      <x:c r="M245" s="202" t="str">
        <x:f>IF(A245="","",IF(AND(K245&lt;&gt;"",L245&lt;&gt;""),IF(AND(TODAY()&gt;=K245,TODAY()&lt;=L245),"Ativo",IF(TODAY()&gt;L245,"Encerrado","Pendente")),IF(K245&lt;&gt;"","Sem prazo","Pendente")))</x:f>
      </x:c>
      <x:c r="N245" s="142"/>
      <x:c r="O245" s="142"/>
    </x:row>
    <x:row r="246" ht="19" customHeight="1">
      <x:c r="A246" s="142"/>
      <x:c r="B246" s="142"/>
      <x:c r="C246" s="142"/>
      <x:c r="D246" s="142"/>
      <x:c r="E246" s="142"/>
      <x:c r="F246" s="142"/>
      <x:c r="G246" s="142"/>
      <x:c r="H246" s="142"/>
      <x:c r="I246" s="142"/>
      <x:c r="J246" s="208"/>
      <x:c r="K246" s="208"/>
      <x:c r="L246" s="208"/>
      <x:c r="M246" s="202" t="str">
        <x:f>IF(A246="","",IF(AND(K246&lt;&gt;"",L246&lt;&gt;""),IF(AND(TODAY()&gt;=K246,TODAY()&lt;=L246),"Ativo",IF(TODAY()&gt;L246,"Encerrado","Pendente")),IF(K246&lt;&gt;"","Sem prazo","Pendente")))</x:f>
      </x:c>
      <x:c r="N246" s="142"/>
      <x:c r="O246" s="142"/>
    </x:row>
    <x:row r="247" ht="19" customHeight="1">
      <x:c r="A247" s="142"/>
      <x:c r="B247" s="142"/>
      <x:c r="C247" s="142"/>
      <x:c r="D247" s="142"/>
      <x:c r="E247" s="142"/>
      <x:c r="F247" s="142"/>
      <x:c r="G247" s="142"/>
      <x:c r="H247" s="142"/>
      <x:c r="I247" s="142"/>
      <x:c r="J247" s="208"/>
      <x:c r="K247" s="208"/>
      <x:c r="L247" s="208"/>
      <x:c r="M247" s="202" t="str">
        <x:f>IF(A247="","",IF(AND(K247&lt;&gt;"",L247&lt;&gt;""),IF(AND(TODAY()&gt;=K247,TODAY()&lt;=L247),"Ativo",IF(TODAY()&gt;L247,"Encerrado","Pendente")),IF(K247&lt;&gt;"","Sem prazo","Pendente")))</x:f>
      </x:c>
      <x:c r="N247" s="142"/>
      <x:c r="O247" s="142"/>
    </x:row>
    <x:row r="248" ht="19" customHeight="1">
      <x:c r="A248" s="142"/>
      <x:c r="B248" s="142"/>
      <x:c r="C248" s="142"/>
      <x:c r="D248" s="142"/>
      <x:c r="E248" s="142"/>
      <x:c r="F248" s="142"/>
      <x:c r="G248" s="142"/>
      <x:c r="H248" s="142"/>
      <x:c r="I248" s="142"/>
      <x:c r="J248" s="208"/>
      <x:c r="K248" s="208"/>
      <x:c r="L248" s="208"/>
      <x:c r="M248" s="202" t="str">
        <x:f>IF(A248="","",IF(AND(K248&lt;&gt;"",L248&lt;&gt;""),IF(AND(TODAY()&gt;=K248,TODAY()&lt;=L248),"Ativo",IF(TODAY()&gt;L248,"Encerrado","Pendente")),IF(K248&lt;&gt;"","Sem prazo","Pendente")))</x:f>
      </x:c>
      <x:c r="N248" s="142"/>
      <x:c r="O248" s="142"/>
    </x:row>
    <x:row r="249" ht="19" customHeight="1">
      <x:c r="A249" s="142"/>
      <x:c r="B249" s="142"/>
      <x:c r="C249" s="142"/>
      <x:c r="D249" s="142"/>
      <x:c r="E249" s="142"/>
      <x:c r="F249" s="142"/>
      <x:c r="G249" s="142"/>
      <x:c r="H249" s="142"/>
      <x:c r="I249" s="142"/>
      <x:c r="J249" s="208"/>
      <x:c r="K249" s="208"/>
      <x:c r="L249" s="208"/>
      <x:c r="M249" s="202" t="str">
        <x:f>IF(A249="","",IF(AND(K249&lt;&gt;"",L249&lt;&gt;""),IF(AND(TODAY()&gt;=K249,TODAY()&lt;=L249),"Ativo",IF(TODAY()&gt;L249,"Encerrado","Pendente")),IF(K249&lt;&gt;"","Sem prazo","Pendente")))</x:f>
      </x:c>
      <x:c r="N249" s="142"/>
      <x:c r="O249" s="142"/>
    </x:row>
    <x:row r="250" ht="19" customHeight="1">
      <x:c r="A250" s="142"/>
      <x:c r="B250" s="142"/>
      <x:c r="C250" s="142"/>
      <x:c r="D250" s="142"/>
      <x:c r="E250" s="142"/>
      <x:c r="F250" s="142"/>
      <x:c r="G250" s="142"/>
      <x:c r="H250" s="142"/>
      <x:c r="I250" s="142"/>
      <x:c r="J250" s="208"/>
      <x:c r="K250" s="208"/>
      <x:c r="L250" s="208"/>
      <x:c r="M250" s="202" t="str">
        <x:f>IF(A250="","",IF(AND(K250&lt;&gt;"",L250&lt;&gt;""),IF(AND(TODAY()&gt;=K250,TODAY()&lt;=L250),"Ativo",IF(TODAY()&gt;L250,"Encerrado","Pendente")),IF(K250&lt;&gt;"","Sem prazo","Pendente")))</x:f>
      </x:c>
      <x:c r="N250" s="142"/>
      <x:c r="O250" s="142"/>
    </x:row>
    <x:row r="251" ht="19" customHeight="1">
      <x:c r="A251" s="142"/>
      <x:c r="B251" s="142"/>
      <x:c r="C251" s="142"/>
      <x:c r="D251" s="142"/>
      <x:c r="E251" s="142"/>
      <x:c r="F251" s="142"/>
      <x:c r="G251" s="142"/>
      <x:c r="H251" s="142"/>
      <x:c r="I251" s="142"/>
      <x:c r="J251" s="208"/>
      <x:c r="K251" s="208"/>
      <x:c r="L251" s="208"/>
      <x:c r="M251" s="202" t="str">
        <x:f>IF(A251="","",IF(AND(K251&lt;&gt;"",L251&lt;&gt;""),IF(AND(TODAY()&gt;=K251,TODAY()&lt;=L251),"Ativo",IF(TODAY()&gt;L251,"Encerrado","Pendente")),IF(K251&lt;&gt;"","Sem prazo","Pendente")))</x:f>
      </x:c>
      <x:c r="N251" s="142"/>
      <x:c r="O251" s="142"/>
    </x:row>
    <x:row r="252" ht="19" customHeight="1">
      <x:c r="A252" s="142"/>
      <x:c r="B252" s="142"/>
      <x:c r="C252" s="142"/>
      <x:c r="D252" s="142"/>
      <x:c r="E252" s="142"/>
      <x:c r="F252" s="142"/>
      <x:c r="G252" s="142"/>
      <x:c r="H252" s="142"/>
      <x:c r="I252" s="142"/>
      <x:c r="J252" s="208"/>
      <x:c r="K252" s="208"/>
      <x:c r="L252" s="208"/>
      <x:c r="M252" s="202" t="str">
        <x:f>IF(A252="","",IF(AND(K252&lt;&gt;"",L252&lt;&gt;""),IF(AND(TODAY()&gt;=K252,TODAY()&lt;=L252),"Ativo",IF(TODAY()&gt;L252,"Encerrado","Pendente")),IF(K252&lt;&gt;"","Sem prazo","Pendente")))</x:f>
      </x:c>
      <x:c r="N252" s="142"/>
      <x:c r="O252" s="142"/>
    </x:row>
    <x:row r="253" ht="19" customHeight="1">
      <x:c r="A253" s="142"/>
      <x:c r="B253" s="142"/>
      <x:c r="C253" s="142"/>
      <x:c r="D253" s="142"/>
      <x:c r="E253" s="142"/>
      <x:c r="F253" s="142"/>
      <x:c r="G253" s="142"/>
      <x:c r="H253" s="142"/>
      <x:c r="I253" s="142"/>
      <x:c r="J253" s="208"/>
      <x:c r="K253" s="208"/>
      <x:c r="L253" s="208"/>
      <x:c r="M253" s="202" t="str">
        <x:f>IF(A253="","",IF(AND(K253&lt;&gt;"",L253&lt;&gt;""),IF(AND(TODAY()&gt;=K253,TODAY()&lt;=L253),"Ativo",IF(TODAY()&gt;L253,"Encerrado","Pendente")),IF(K253&lt;&gt;"","Sem prazo","Pendente")))</x:f>
      </x:c>
      <x:c r="N253" s="142"/>
      <x:c r="O253" s="142"/>
    </x:row>
    <x:row r="254" ht="19" customHeight="1">
      <x:c r="A254" s="143"/>
      <x:c r="B254" s="143"/>
      <x:c r="C254" s="143"/>
      <x:c r="D254" s="143"/>
      <x:c r="E254" s="143"/>
      <x:c r="F254" s="143"/>
      <x:c r="G254" s="143"/>
      <x:c r="H254" s="143"/>
      <x:c r="I254" s="143"/>
      <x:c r="J254" s="209"/>
      <x:c r="K254" s="209"/>
      <x:c r="L254" s="209"/>
      <x:c r="M254" s="203" t="str">
        <x:f>IF(A254="","",IF(AND(K254&lt;&gt;"",L254&lt;&gt;""),IF(AND(TODAY()&gt;=K254,TODAY()&lt;=L254),"Ativo",IF(TODAY()&gt;L254,"Encerrado","Pendente")),IF(K254&lt;&gt;"","Sem prazo","Pendente")))</x:f>
      </x:c>
      <x:c r="N254" s="143"/>
      <x:c r="O254" s="143"/>
    </x:row>
  </x:sheetData>
  <x:mergeCells>
    <x:mergeCell ref="A1:O1"/>
    <x:mergeCell ref="A2:O2"/>
  </x:mergeCells>
  <x:conditionalFormatting sqref="M5:M254">
    <x:cfRule type="expression" dxfId="6" priority="1">
      <x:formula>M5="Ativo"</x:formula>
    </x:cfRule>
    <x:cfRule type="expression" dxfId="7" priority="2">
      <x:formula>M5="Encerrado"</x:formula>
    </x:cfRule>
  </x:conditionalFormatting>
  <x:dataValidations count="2">
    <x:dataValidation type="list" sqref="B5:B254">
      <x:formula1>"Cessão,Licença,Distribuição,Produção Fonográfica,Participação,Edição,Subedição,Sincronização,Administração,Outro"</x:formula1>
    </x:dataValidation>
    <x:dataValidation type="list" sqref="C5:C254">
      <x:formula1>"Obra,Fonograma,Catálogo,Audiovisual,Outro"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02857a0a40423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34" hidden="0" customWidth="1"/>
    <x:col min="4" max="4" width="24" hidden="0" customWidth="1"/>
    <x:col min="5" max="5" width="26" hidden="0" customWidth="1"/>
    <x:col min="6" max="6" width="20" hidden="0" customWidth="1"/>
    <x:col min="7" max="7" width="19" hidden="0" customWidth="1"/>
    <x:col min="8" max="8" width="26" hidden="0" customWidth="1"/>
    <x:col min="9" max="9" width="27" hidden="0" customWidth="1"/>
    <x:col min="10" max="10" width="25" hidden="0" customWidth="1"/>
    <x:col min="11" max="11" width="14" hidden="0" customWidth="1"/>
    <x:col min="12" max="12" width="18" hidden="0" customWidth="1"/>
    <x:col min="13" max="13" width="18" hidden="0" customWidth="1"/>
    <x:col min="14" max="14" width="20" hidden="0" customWidth="1"/>
    <x:col min="15" max="15" width="34" hidden="0" customWidth="1"/>
    <x:col min="16" max="16" width="22" hidden="0" customWidth="1"/>
    <x:col min="17" max="17" width="16" hidden="0" customWidth="1"/>
    <x:col min="18" max="18" width="16" hidden="0" customWidth="1"/>
    <x:col min="19" max="19" width="18" hidden="0" customWidth="1"/>
    <x:col min="20" max="20" width="34" hidden="0" customWidth="1"/>
  </x:cols>
  <x:sheetData>
    <x:row r="1" ht="28" customHeight="1">
      <x:c r="A1" s="5" t="str">
        <x:v>RDx CONTROLE — ONBOARDING, TESTES E PRODUÇÃO</x:v>
      </x:c>
    </x:row>
    <x:row r="2" ht="32" customHeight="1">
      <x:c r="A2" s="14" t="str">
        <x:v>Use esta aba para acompanhar a estrutura de RightsController, Data Source, mandatos, dados DDEX, testes e retornos do RDx.</x:v>
      </x:c>
    </x:row>
    <x:row r="4" ht="34" customHeight="1">
      <x:c r="A4" s="56" t="str">
        <x:v>ID Fonograma</x:v>
      </x:c>
      <x:c r="B4" s="56" t="str">
        <x:v>ISRC</x:v>
      </x:c>
      <x:c r="C4" s="56" t="str">
        <x:v>Título</x:v>
      </x:c>
      <x:c r="D4" s="56" t="str">
        <x:v>RightsController</x:v>
      </x:c>
      <x:c r="E4" s="56" t="str">
        <x:v>Data Source</x:v>
      </x:c>
      <x:c r="F4" s="56" t="str">
        <x:v>Mandatos Confirmados?</x:v>
      </x:c>
      <x:c r="G4" s="56" t="str">
        <x:v>Dados DDEX Core?</x:v>
      </x:c>
      <x:c r="H4" s="56" t="str">
        <x:v>Dados DDEX Recomendados?</x:v>
      </x:c>
      <x:c r="I4" s="56" t="str">
        <x:v>Party IDs / Identificadores?</x:v>
      </x:c>
      <x:c r="J4" s="56" t="str">
        <x:v>Teste Técnico Concluído?</x:v>
      </x:c>
      <x:c r="K4" s="56" t="str">
        <x:v>Ambiente</x:v>
      </x:c>
      <x:c r="L4" s="56" t="str">
        <x:v>Data do Primeiro Envio</x:v>
      </x:c>
      <x:c r="M4" s="56" t="str">
        <x:v>Último Retorno</x:v>
      </x:c>
      <x:c r="N4" s="56" t="str">
        <x:v>Status do Retorno</x:v>
      </x:c>
      <x:c r="O4" s="56" t="str">
        <x:v>Ação Pendente</x:v>
      </x:c>
      <x:c r="P4" s="56" t="str">
        <x:v>Responsável</x:v>
      </x:c>
      <x:c r="Q4" s="56" t="str">
        <x:v>Prazo</x:v>
      </x:c>
      <x:c r="R4" s="56" t="str">
        <x:v>Conclusão</x:v>
      </x:c>
      <x:c r="S4" s="56" t="str">
        <x:v>Prontidão</x:v>
      </x:c>
      <x:c r="T4" s="56" t="str">
        <x:v>Observações</x:v>
      </x:c>
    </x:row>
    <x:row r="5" ht="19" customHeight="1">
      <x:c r="A5" s="141"/>
      <x:c r="B5" s="141"/>
      <x:c r="C5" s="141"/>
      <x:c r="D5" s="141"/>
      <x:c r="E5" s="141"/>
      <x:c r="F5" s="141"/>
      <x:c r="G5" s="141"/>
      <x:c r="H5" s="141"/>
      <x:c r="I5" s="141"/>
      <x:c r="J5" s="141"/>
      <x:c r="K5" s="141"/>
      <x:c r="L5" s="207"/>
      <x:c r="M5" s="207"/>
      <x:c r="N5" s="141"/>
      <x:c r="O5" s="141"/>
      <x:c r="P5" s="141"/>
      <x:c r="Q5" s="207"/>
      <x:c r="R5" s="207"/>
      <x:c r="S5" s="201" t="str">
        <x:f>IF(A5="","",IF(COUNTIF(F5:J5,"Sim")=5,"PRONTO","PENDENTE"))</x:f>
      </x:c>
      <x:c r="T5" s="141"/>
    </x:row>
    <x:row r="6" ht="19" customHeight="1">
      <x:c r="A6" s="142"/>
      <x:c r="B6" s="142"/>
      <x:c r="C6" s="142"/>
      <x:c r="D6" s="142"/>
      <x:c r="E6" s="142"/>
      <x:c r="F6" s="142"/>
      <x:c r="G6" s="142"/>
      <x:c r="H6" s="142"/>
      <x:c r="I6" s="142"/>
      <x:c r="J6" s="142"/>
      <x:c r="K6" s="142"/>
      <x:c r="L6" s="208"/>
      <x:c r="M6" s="208"/>
      <x:c r="N6" s="142"/>
      <x:c r="O6" s="142"/>
      <x:c r="P6" s="142"/>
      <x:c r="Q6" s="208"/>
      <x:c r="R6" s="208"/>
      <x:c r="S6" s="202" t="str">
        <x:f>IF(A6="","",IF(COUNTIF(F6:J6,"Sim")=5,"PRONTO","PENDENTE"))</x:f>
      </x:c>
      <x:c r="T6" s="142"/>
    </x:row>
    <x:row r="7" ht="19" customHeight="1">
      <x:c r="A7" s="142"/>
      <x:c r="B7" s="142"/>
      <x:c r="C7" s="142"/>
      <x:c r="D7" s="142"/>
      <x:c r="E7" s="142"/>
      <x:c r="F7" s="142"/>
      <x:c r="G7" s="142"/>
      <x:c r="H7" s="142"/>
      <x:c r="I7" s="142"/>
      <x:c r="J7" s="142"/>
      <x:c r="K7" s="142"/>
      <x:c r="L7" s="208"/>
      <x:c r="M7" s="208"/>
      <x:c r="N7" s="142"/>
      <x:c r="O7" s="142"/>
      <x:c r="P7" s="142"/>
      <x:c r="Q7" s="208"/>
      <x:c r="R7" s="208"/>
      <x:c r="S7" s="202" t="str">
        <x:f>IF(A7="","",IF(COUNTIF(F7:J7,"Sim")=5,"PRONTO","PENDENTE"))</x:f>
      </x:c>
      <x:c r="T7" s="142"/>
    </x:row>
    <x:row r="8" ht="19" customHeight="1">
      <x:c r="A8" s="142"/>
      <x:c r="B8" s="142"/>
      <x:c r="C8" s="142"/>
      <x:c r="D8" s="142"/>
      <x:c r="E8" s="142"/>
      <x:c r="F8" s="142"/>
      <x:c r="G8" s="142"/>
      <x:c r="H8" s="142"/>
      <x:c r="I8" s="142"/>
      <x:c r="J8" s="142"/>
      <x:c r="K8" s="142"/>
      <x:c r="L8" s="208"/>
      <x:c r="M8" s="208"/>
      <x:c r="N8" s="142"/>
      <x:c r="O8" s="142"/>
      <x:c r="P8" s="142"/>
      <x:c r="Q8" s="208"/>
      <x:c r="R8" s="208"/>
      <x:c r="S8" s="202" t="str">
        <x:f>IF(A8="","",IF(COUNTIF(F8:J8,"Sim")=5,"PRONTO","PENDENTE"))</x:f>
      </x:c>
      <x:c r="T8" s="142"/>
    </x:row>
    <x:row r="9" ht="19" customHeight="1">
      <x:c r="A9" s="142"/>
      <x:c r="B9" s="142"/>
      <x:c r="C9" s="142"/>
      <x:c r="D9" s="142"/>
      <x:c r="E9" s="142"/>
      <x:c r="F9" s="142"/>
      <x:c r="G9" s="142"/>
      <x:c r="H9" s="142"/>
      <x:c r="I9" s="142"/>
      <x:c r="J9" s="142"/>
      <x:c r="K9" s="142"/>
      <x:c r="L9" s="208"/>
      <x:c r="M9" s="208"/>
      <x:c r="N9" s="142"/>
      <x:c r="O9" s="142"/>
      <x:c r="P9" s="142"/>
      <x:c r="Q9" s="208"/>
      <x:c r="R9" s="208"/>
      <x:c r="S9" s="202" t="str">
        <x:f>IF(A9="","",IF(COUNTIF(F9:J9,"Sim")=5,"PRONTO","PENDENTE"))</x:f>
      </x:c>
      <x:c r="T9" s="142"/>
    </x:row>
    <x:row r="10" ht="19" customHeight="1">
      <x:c r="A10" s="142"/>
      <x:c r="B10" s="142"/>
      <x:c r="C10" s="142"/>
      <x:c r="D10" s="142"/>
      <x:c r="E10" s="142"/>
      <x:c r="F10" s="142"/>
      <x:c r="G10" s="142"/>
      <x:c r="H10" s="142"/>
      <x:c r="I10" s="142"/>
      <x:c r="J10" s="142"/>
      <x:c r="K10" s="142"/>
      <x:c r="L10" s="208"/>
      <x:c r="M10" s="208"/>
      <x:c r="N10" s="142"/>
      <x:c r="O10" s="142"/>
      <x:c r="P10" s="142"/>
      <x:c r="Q10" s="208"/>
      <x:c r="R10" s="208"/>
      <x:c r="S10" s="202" t="str">
        <x:f>IF(A10="","",IF(COUNTIF(F10:J10,"Sim")=5,"PRONTO","PENDENTE"))</x:f>
      </x:c>
      <x:c r="T10" s="142"/>
    </x:row>
    <x:row r="11" ht="19" customHeight="1">
      <x:c r="A11" s="142"/>
      <x:c r="B11" s="142"/>
      <x:c r="C11" s="142"/>
      <x:c r="D11" s="142"/>
      <x:c r="E11" s="142"/>
      <x:c r="F11" s="142"/>
      <x:c r="G11" s="142"/>
      <x:c r="H11" s="142"/>
      <x:c r="I11" s="142"/>
      <x:c r="J11" s="142"/>
      <x:c r="K11" s="142"/>
      <x:c r="L11" s="208"/>
      <x:c r="M11" s="208"/>
      <x:c r="N11" s="142"/>
      <x:c r="O11" s="142"/>
      <x:c r="P11" s="142"/>
      <x:c r="Q11" s="208"/>
      <x:c r="R11" s="208"/>
      <x:c r="S11" s="202" t="str">
        <x:f>IF(A11="","",IF(COUNTIF(F11:J11,"Sim")=5,"PRONTO","PENDENTE"))</x:f>
      </x:c>
      <x:c r="T11" s="142"/>
    </x:row>
    <x:row r="12" ht="19" customHeight="1">
      <x:c r="A12" s="142"/>
      <x:c r="B12" s="142"/>
      <x:c r="C12" s="142"/>
      <x:c r="D12" s="142"/>
      <x:c r="E12" s="142"/>
      <x:c r="F12" s="142"/>
      <x:c r="G12" s="142"/>
      <x:c r="H12" s="142"/>
      <x:c r="I12" s="142"/>
      <x:c r="J12" s="142"/>
      <x:c r="K12" s="142"/>
      <x:c r="L12" s="208"/>
      <x:c r="M12" s="208"/>
      <x:c r="N12" s="142"/>
      <x:c r="O12" s="142"/>
      <x:c r="P12" s="142"/>
      <x:c r="Q12" s="208"/>
      <x:c r="R12" s="208"/>
      <x:c r="S12" s="202" t="str">
        <x:f>IF(A12="","",IF(COUNTIF(F12:J12,"Sim")=5,"PRONTO","PENDENTE"))</x:f>
      </x:c>
      <x:c r="T12" s="142"/>
    </x:row>
    <x:row r="13" ht="19" customHeight="1">
      <x:c r="A13" s="142"/>
      <x:c r="B13" s="142"/>
      <x:c r="C13" s="142"/>
      <x:c r="D13" s="142"/>
      <x:c r="E13" s="142"/>
      <x:c r="F13" s="142"/>
      <x:c r="G13" s="142"/>
      <x:c r="H13" s="142"/>
      <x:c r="I13" s="142"/>
      <x:c r="J13" s="142"/>
      <x:c r="K13" s="142"/>
      <x:c r="L13" s="208"/>
      <x:c r="M13" s="208"/>
      <x:c r="N13" s="142"/>
      <x:c r="O13" s="142"/>
      <x:c r="P13" s="142"/>
      <x:c r="Q13" s="208"/>
      <x:c r="R13" s="208"/>
      <x:c r="S13" s="202" t="str">
        <x:f>IF(A13="","",IF(COUNTIF(F13:J13,"Sim")=5,"PRONTO","PENDENTE"))</x:f>
      </x:c>
      <x:c r="T13" s="142"/>
    </x:row>
    <x:row r="14" ht="19" customHeight="1">
      <x:c r="A14" s="142"/>
      <x:c r="B14" s="142"/>
      <x:c r="C14" s="142"/>
      <x:c r="D14" s="142"/>
      <x:c r="E14" s="142"/>
      <x:c r="F14" s="142"/>
      <x:c r="G14" s="142"/>
      <x:c r="H14" s="142"/>
      <x:c r="I14" s="142"/>
      <x:c r="J14" s="142"/>
      <x:c r="K14" s="142"/>
      <x:c r="L14" s="208"/>
      <x:c r="M14" s="208"/>
      <x:c r="N14" s="142"/>
      <x:c r="O14" s="142"/>
      <x:c r="P14" s="142"/>
      <x:c r="Q14" s="208"/>
      <x:c r="R14" s="208"/>
      <x:c r="S14" s="202" t="str">
        <x:f>IF(A14="","",IF(COUNTIF(F14:J14,"Sim")=5,"PRONTO","PENDENTE"))</x:f>
      </x:c>
      <x:c r="T14" s="142"/>
    </x:row>
    <x:row r="15" ht="19" customHeight="1">
      <x:c r="A15" s="142"/>
      <x:c r="B15" s="142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208"/>
      <x:c r="M15" s="208"/>
      <x:c r="N15" s="142"/>
      <x:c r="O15" s="142"/>
      <x:c r="P15" s="142"/>
      <x:c r="Q15" s="208"/>
      <x:c r="R15" s="208"/>
      <x:c r="S15" s="202" t="str">
        <x:f>IF(A15="","",IF(COUNTIF(F15:J15,"Sim")=5,"PRONTO","PENDENTE"))</x:f>
      </x:c>
      <x:c r="T15" s="142"/>
    </x:row>
    <x:row r="16" ht="19" customHeight="1">
      <x:c r="A16" s="142"/>
      <x:c r="B16" s="142"/>
      <x:c r="C16" s="142"/>
      <x:c r="D16" s="142"/>
      <x:c r="E16" s="142"/>
      <x:c r="F16" s="142"/>
      <x:c r="G16" s="142"/>
      <x:c r="H16" s="142"/>
      <x:c r="I16" s="142"/>
      <x:c r="J16" s="142"/>
      <x:c r="K16" s="142"/>
      <x:c r="L16" s="208"/>
      <x:c r="M16" s="208"/>
      <x:c r="N16" s="142"/>
      <x:c r="O16" s="142"/>
      <x:c r="P16" s="142"/>
      <x:c r="Q16" s="208"/>
      <x:c r="R16" s="208"/>
      <x:c r="S16" s="202" t="str">
        <x:f>IF(A16="","",IF(COUNTIF(F16:J16,"Sim")=5,"PRONTO","PENDENTE"))</x:f>
      </x:c>
      <x:c r="T16" s="142"/>
    </x:row>
    <x:row r="17" ht="19" customHeight="1">
      <x:c r="A17" s="142"/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208"/>
      <x:c r="M17" s="208"/>
      <x:c r="N17" s="142"/>
      <x:c r="O17" s="142"/>
      <x:c r="P17" s="142"/>
      <x:c r="Q17" s="208"/>
      <x:c r="R17" s="208"/>
      <x:c r="S17" s="202" t="str">
        <x:f>IF(A17="","",IF(COUNTIF(F17:J17,"Sim")=5,"PRONTO","PENDENTE"))</x:f>
      </x:c>
      <x:c r="T17" s="142"/>
    </x:row>
    <x:row r="18" ht="19" customHeight="1">
      <x:c r="A18" s="142"/>
      <x:c r="B18" s="142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208"/>
      <x:c r="M18" s="208"/>
      <x:c r="N18" s="142"/>
      <x:c r="O18" s="142"/>
      <x:c r="P18" s="142"/>
      <x:c r="Q18" s="208"/>
      <x:c r="R18" s="208"/>
      <x:c r="S18" s="202" t="str">
        <x:f>IF(A18="","",IF(COUNTIF(F18:J18,"Sim")=5,"PRONTO","PENDENTE"))</x:f>
      </x:c>
      <x:c r="T18" s="142"/>
    </x:row>
    <x:row r="19" ht="19" customHeight="1">
      <x:c r="A19" s="142"/>
      <x:c r="B19" s="142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208"/>
      <x:c r="M19" s="208"/>
      <x:c r="N19" s="142"/>
      <x:c r="O19" s="142"/>
      <x:c r="P19" s="142"/>
      <x:c r="Q19" s="208"/>
      <x:c r="R19" s="208"/>
      <x:c r="S19" s="202" t="str">
        <x:f>IF(A19="","",IF(COUNTIF(F19:J19,"Sim")=5,"PRONTO","PENDENTE"))</x:f>
      </x:c>
      <x:c r="T19" s="142"/>
    </x:row>
    <x:row r="20" ht="19" customHeight="1">
      <x:c r="A20" s="142"/>
      <x:c r="B20" s="142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208"/>
      <x:c r="M20" s="208"/>
      <x:c r="N20" s="142"/>
      <x:c r="O20" s="142"/>
      <x:c r="P20" s="142"/>
      <x:c r="Q20" s="208"/>
      <x:c r="R20" s="208"/>
      <x:c r="S20" s="202" t="str">
        <x:f>IF(A20="","",IF(COUNTIF(F20:J20,"Sim")=5,"PRONTO","PENDENTE"))</x:f>
      </x:c>
      <x:c r="T20" s="142"/>
    </x:row>
    <x:row r="21" ht="19" customHeight="1">
      <x:c r="A21" s="142"/>
      <x:c r="B21" s="142"/>
      <x:c r="C21" s="142"/>
      <x:c r="D21" s="142"/>
      <x:c r="E21" s="142"/>
      <x:c r="F21" s="142"/>
      <x:c r="G21" s="142"/>
      <x:c r="H21" s="142"/>
      <x:c r="I21" s="142"/>
      <x:c r="J21" s="142"/>
      <x:c r="K21" s="142"/>
      <x:c r="L21" s="208"/>
      <x:c r="M21" s="208"/>
      <x:c r="N21" s="142"/>
      <x:c r="O21" s="142"/>
      <x:c r="P21" s="142"/>
      <x:c r="Q21" s="208"/>
      <x:c r="R21" s="208"/>
      <x:c r="S21" s="202" t="str">
        <x:f>IF(A21="","",IF(COUNTIF(F21:J21,"Sim")=5,"PRONTO","PENDENTE"))</x:f>
      </x:c>
      <x:c r="T21" s="142"/>
    </x:row>
    <x:row r="22" ht="19" customHeight="1">
      <x:c r="A22" s="142"/>
      <x:c r="B22" s="142"/>
      <x:c r="C22" s="142"/>
      <x:c r="D22" s="142"/>
      <x:c r="E22" s="142"/>
      <x:c r="F22" s="142"/>
      <x:c r="G22" s="142"/>
      <x:c r="H22" s="142"/>
      <x:c r="I22" s="142"/>
      <x:c r="J22" s="142"/>
      <x:c r="K22" s="142"/>
      <x:c r="L22" s="208"/>
      <x:c r="M22" s="208"/>
      <x:c r="N22" s="142"/>
      <x:c r="O22" s="142"/>
      <x:c r="P22" s="142"/>
      <x:c r="Q22" s="208"/>
      <x:c r="R22" s="208"/>
      <x:c r="S22" s="202" t="str">
        <x:f>IF(A22="","",IF(COUNTIF(F22:J22,"Sim")=5,"PRONTO","PENDENTE"))</x:f>
      </x:c>
      <x:c r="T22" s="142"/>
    </x:row>
    <x:row r="23" ht="19" customHeight="1">
      <x:c r="A23" s="142"/>
      <x:c r="B23" s="142"/>
      <x:c r="C23" s="142"/>
      <x:c r="D23" s="142"/>
      <x:c r="E23" s="142"/>
      <x:c r="F23" s="142"/>
      <x:c r="G23" s="142"/>
      <x:c r="H23" s="142"/>
      <x:c r="I23" s="142"/>
      <x:c r="J23" s="142"/>
      <x:c r="K23" s="142"/>
      <x:c r="L23" s="208"/>
      <x:c r="M23" s="208"/>
      <x:c r="N23" s="142"/>
      <x:c r="O23" s="142"/>
      <x:c r="P23" s="142"/>
      <x:c r="Q23" s="208"/>
      <x:c r="R23" s="208"/>
      <x:c r="S23" s="202" t="str">
        <x:f>IF(A23="","",IF(COUNTIF(F23:J23,"Sim")=5,"PRONTO","PENDENTE"))</x:f>
      </x:c>
      <x:c r="T23" s="142"/>
    </x:row>
    <x:row r="24" ht="19" customHeight="1">
      <x:c r="A24" s="142"/>
      <x:c r="B24" s="142"/>
      <x:c r="C24" s="142"/>
      <x:c r="D24" s="142"/>
      <x:c r="E24" s="142"/>
      <x:c r="F24" s="142"/>
      <x:c r="G24" s="142"/>
      <x:c r="H24" s="142"/>
      <x:c r="I24" s="142"/>
      <x:c r="J24" s="142"/>
      <x:c r="K24" s="142"/>
      <x:c r="L24" s="208"/>
      <x:c r="M24" s="208"/>
      <x:c r="N24" s="142"/>
      <x:c r="O24" s="142"/>
      <x:c r="P24" s="142"/>
      <x:c r="Q24" s="208"/>
      <x:c r="R24" s="208"/>
      <x:c r="S24" s="202" t="str">
        <x:f>IF(A24="","",IF(COUNTIF(F24:J24,"Sim")=5,"PRONTO","PENDENTE"))</x:f>
      </x:c>
      <x:c r="T24" s="142"/>
    </x:row>
    <x:row r="25" ht="19" customHeight="1">
      <x:c r="A25" s="142"/>
      <x:c r="B25" s="142"/>
      <x:c r="C25" s="142"/>
      <x:c r="D25" s="142"/>
      <x:c r="E25" s="142"/>
      <x:c r="F25" s="142"/>
      <x:c r="G25" s="142"/>
      <x:c r="H25" s="142"/>
      <x:c r="I25" s="142"/>
      <x:c r="J25" s="142"/>
      <x:c r="K25" s="142"/>
      <x:c r="L25" s="208"/>
      <x:c r="M25" s="208"/>
      <x:c r="N25" s="142"/>
      <x:c r="O25" s="142"/>
      <x:c r="P25" s="142"/>
      <x:c r="Q25" s="208"/>
      <x:c r="R25" s="208"/>
      <x:c r="S25" s="202" t="str">
        <x:f>IF(A25="","",IF(COUNTIF(F25:J25,"Sim")=5,"PRONTO","PENDENTE"))</x:f>
      </x:c>
      <x:c r="T25" s="142"/>
    </x:row>
    <x:row r="26" ht="19" customHeight="1">
      <x:c r="A26" s="142"/>
      <x:c r="B26" s="142"/>
      <x:c r="C26" s="142"/>
      <x:c r="D26" s="142"/>
      <x:c r="E26" s="142"/>
      <x:c r="F26" s="142"/>
      <x:c r="G26" s="142"/>
      <x:c r="H26" s="142"/>
      <x:c r="I26" s="142"/>
      <x:c r="J26" s="142"/>
      <x:c r="K26" s="142"/>
      <x:c r="L26" s="208"/>
      <x:c r="M26" s="208"/>
      <x:c r="N26" s="142"/>
      <x:c r="O26" s="142"/>
      <x:c r="P26" s="142"/>
      <x:c r="Q26" s="208"/>
      <x:c r="R26" s="208"/>
      <x:c r="S26" s="202" t="str">
        <x:f>IF(A26="","",IF(COUNTIF(F26:J26,"Sim")=5,"PRONTO","PENDENTE"))</x:f>
      </x:c>
      <x:c r="T26" s="142"/>
    </x:row>
    <x:row r="27" ht="19" customHeight="1">
      <x:c r="A27" s="142"/>
      <x:c r="B27" s="142"/>
      <x:c r="C27" s="142"/>
      <x:c r="D27" s="142"/>
      <x:c r="E27" s="142"/>
      <x:c r="F27" s="142"/>
      <x:c r="G27" s="142"/>
      <x:c r="H27" s="142"/>
      <x:c r="I27" s="142"/>
      <x:c r="J27" s="142"/>
      <x:c r="K27" s="142"/>
      <x:c r="L27" s="208"/>
      <x:c r="M27" s="208"/>
      <x:c r="N27" s="142"/>
      <x:c r="O27" s="142"/>
      <x:c r="P27" s="142"/>
      <x:c r="Q27" s="208"/>
      <x:c r="R27" s="208"/>
      <x:c r="S27" s="202" t="str">
        <x:f>IF(A27="","",IF(COUNTIF(F27:J27,"Sim")=5,"PRONTO","PENDENTE"))</x:f>
      </x:c>
      <x:c r="T27" s="142"/>
    </x:row>
    <x:row r="28" ht="19" customHeight="1">
      <x:c r="A28" s="142"/>
      <x:c r="B28" s="142"/>
      <x:c r="C28" s="142"/>
      <x:c r="D28" s="142"/>
      <x:c r="E28" s="142"/>
      <x:c r="F28" s="142"/>
      <x:c r="G28" s="142"/>
      <x:c r="H28" s="142"/>
      <x:c r="I28" s="142"/>
      <x:c r="J28" s="142"/>
      <x:c r="K28" s="142"/>
      <x:c r="L28" s="208"/>
      <x:c r="M28" s="208"/>
      <x:c r="N28" s="142"/>
      <x:c r="O28" s="142"/>
      <x:c r="P28" s="142"/>
      <x:c r="Q28" s="208"/>
      <x:c r="R28" s="208"/>
      <x:c r="S28" s="202" t="str">
        <x:f>IF(A28="","",IF(COUNTIF(F28:J28,"Sim")=5,"PRONTO","PENDENTE"))</x:f>
      </x:c>
      <x:c r="T28" s="142"/>
    </x:row>
    <x:row r="29" ht="19" customHeight="1">
      <x:c r="A29" s="142"/>
      <x:c r="B29" s="142"/>
      <x:c r="C29" s="142"/>
      <x:c r="D29" s="142"/>
      <x:c r="E29" s="142"/>
      <x:c r="F29" s="142"/>
      <x:c r="G29" s="142"/>
      <x:c r="H29" s="142"/>
      <x:c r="I29" s="142"/>
      <x:c r="J29" s="142"/>
      <x:c r="K29" s="142"/>
      <x:c r="L29" s="208"/>
      <x:c r="M29" s="208"/>
      <x:c r="N29" s="142"/>
      <x:c r="O29" s="142"/>
      <x:c r="P29" s="142"/>
      <x:c r="Q29" s="208"/>
      <x:c r="R29" s="208"/>
      <x:c r="S29" s="202" t="str">
        <x:f>IF(A29="","",IF(COUNTIF(F29:J29,"Sim")=5,"PRONTO","PENDENTE"))</x:f>
      </x:c>
      <x:c r="T29" s="142"/>
    </x:row>
    <x:row r="30" ht="19" customHeight="1">
      <x:c r="A30" s="142"/>
      <x:c r="B30" s="142"/>
      <x:c r="C30" s="142"/>
      <x:c r="D30" s="142"/>
      <x:c r="E30" s="142"/>
      <x:c r="F30" s="142"/>
      <x:c r="G30" s="142"/>
      <x:c r="H30" s="142"/>
      <x:c r="I30" s="142"/>
      <x:c r="J30" s="142"/>
      <x:c r="K30" s="142"/>
      <x:c r="L30" s="208"/>
      <x:c r="M30" s="208"/>
      <x:c r="N30" s="142"/>
      <x:c r="O30" s="142"/>
      <x:c r="P30" s="142"/>
      <x:c r="Q30" s="208"/>
      <x:c r="R30" s="208"/>
      <x:c r="S30" s="202" t="str">
        <x:f>IF(A30="","",IF(COUNTIF(F30:J30,"Sim")=5,"PRONTO","PENDENTE"))</x:f>
      </x:c>
      <x:c r="T30" s="142"/>
    </x:row>
    <x:row r="31" ht="19" customHeight="1">
      <x:c r="A31" s="142"/>
      <x:c r="B31" s="142"/>
      <x:c r="C31" s="142"/>
      <x:c r="D31" s="142"/>
      <x:c r="E31" s="142"/>
      <x:c r="F31" s="142"/>
      <x:c r="G31" s="142"/>
      <x:c r="H31" s="142"/>
      <x:c r="I31" s="142"/>
      <x:c r="J31" s="142"/>
      <x:c r="K31" s="142"/>
      <x:c r="L31" s="208"/>
      <x:c r="M31" s="208"/>
      <x:c r="N31" s="142"/>
      <x:c r="O31" s="142"/>
      <x:c r="P31" s="142"/>
      <x:c r="Q31" s="208"/>
      <x:c r="R31" s="208"/>
      <x:c r="S31" s="202" t="str">
        <x:f>IF(A31="","",IF(COUNTIF(F31:J31,"Sim")=5,"PRONTO","PENDENTE"))</x:f>
      </x:c>
      <x:c r="T31" s="142"/>
    </x:row>
    <x:row r="32" ht="19" customHeight="1">
      <x:c r="A32" s="142"/>
      <x:c r="B32" s="142"/>
      <x:c r="C32" s="142"/>
      <x:c r="D32" s="142"/>
      <x:c r="E32" s="142"/>
      <x:c r="F32" s="142"/>
      <x:c r="G32" s="142"/>
      <x:c r="H32" s="142"/>
      <x:c r="I32" s="142"/>
      <x:c r="J32" s="142"/>
      <x:c r="K32" s="142"/>
      <x:c r="L32" s="208"/>
      <x:c r="M32" s="208"/>
      <x:c r="N32" s="142"/>
      <x:c r="O32" s="142"/>
      <x:c r="P32" s="142"/>
      <x:c r="Q32" s="208"/>
      <x:c r="R32" s="208"/>
      <x:c r="S32" s="202" t="str">
        <x:f>IF(A32="","",IF(COUNTIF(F32:J32,"Sim")=5,"PRONTO","PENDENTE"))</x:f>
      </x:c>
      <x:c r="T32" s="142"/>
    </x:row>
    <x:row r="33" ht="19" customHeight="1">
      <x:c r="A33" s="142"/>
      <x:c r="B33" s="142"/>
      <x:c r="C33" s="142"/>
      <x:c r="D33" s="142"/>
      <x:c r="E33" s="142"/>
      <x:c r="F33" s="142"/>
      <x:c r="G33" s="142"/>
      <x:c r="H33" s="142"/>
      <x:c r="I33" s="142"/>
      <x:c r="J33" s="142"/>
      <x:c r="K33" s="142"/>
      <x:c r="L33" s="208"/>
      <x:c r="M33" s="208"/>
      <x:c r="N33" s="142"/>
      <x:c r="O33" s="142"/>
      <x:c r="P33" s="142"/>
      <x:c r="Q33" s="208"/>
      <x:c r="R33" s="208"/>
      <x:c r="S33" s="202" t="str">
        <x:f>IF(A33="","",IF(COUNTIF(F33:J33,"Sim")=5,"PRONTO","PENDENTE"))</x:f>
      </x:c>
      <x:c r="T33" s="142"/>
    </x:row>
    <x:row r="34" ht="19" customHeight="1">
      <x:c r="A34" s="142"/>
      <x:c r="B34" s="142"/>
      <x:c r="C34" s="142"/>
      <x:c r="D34" s="142"/>
      <x:c r="E34" s="142"/>
      <x:c r="F34" s="142"/>
      <x:c r="G34" s="142"/>
      <x:c r="H34" s="142"/>
      <x:c r="I34" s="142"/>
      <x:c r="J34" s="142"/>
      <x:c r="K34" s="142"/>
      <x:c r="L34" s="208"/>
      <x:c r="M34" s="208"/>
      <x:c r="N34" s="142"/>
      <x:c r="O34" s="142"/>
      <x:c r="P34" s="142"/>
      <x:c r="Q34" s="208"/>
      <x:c r="R34" s="208"/>
      <x:c r="S34" s="202" t="str">
        <x:f>IF(A34="","",IF(COUNTIF(F34:J34,"Sim")=5,"PRONTO","PENDENTE"))</x:f>
      </x:c>
      <x:c r="T34" s="142"/>
    </x:row>
    <x:row r="35" ht="19" customHeight="1">
      <x:c r="A35" s="142"/>
      <x:c r="B35" s="142"/>
      <x:c r="C35" s="142"/>
      <x:c r="D35" s="142"/>
      <x:c r="E35" s="142"/>
      <x:c r="F35" s="142"/>
      <x:c r="G35" s="142"/>
      <x:c r="H35" s="142"/>
      <x:c r="I35" s="142"/>
      <x:c r="J35" s="142"/>
      <x:c r="K35" s="142"/>
      <x:c r="L35" s="208"/>
      <x:c r="M35" s="208"/>
      <x:c r="N35" s="142"/>
      <x:c r="O35" s="142"/>
      <x:c r="P35" s="142"/>
      <x:c r="Q35" s="208"/>
      <x:c r="R35" s="208"/>
      <x:c r="S35" s="202" t="str">
        <x:f>IF(A35="","",IF(COUNTIF(F35:J35,"Sim")=5,"PRONTO","PENDENTE"))</x:f>
      </x:c>
      <x:c r="T35" s="142"/>
    </x:row>
    <x:row r="36" ht="19" customHeight="1">
      <x:c r="A36" s="142"/>
      <x:c r="B36" s="142"/>
      <x:c r="C36" s="142"/>
      <x:c r="D36" s="142"/>
      <x:c r="E36" s="142"/>
      <x:c r="F36" s="142"/>
      <x:c r="G36" s="142"/>
      <x:c r="H36" s="142"/>
      <x:c r="I36" s="142"/>
      <x:c r="J36" s="142"/>
      <x:c r="K36" s="142"/>
      <x:c r="L36" s="208"/>
      <x:c r="M36" s="208"/>
      <x:c r="N36" s="142"/>
      <x:c r="O36" s="142"/>
      <x:c r="P36" s="142"/>
      <x:c r="Q36" s="208"/>
      <x:c r="R36" s="208"/>
      <x:c r="S36" s="202" t="str">
        <x:f>IF(A36="","",IF(COUNTIF(F36:J36,"Sim")=5,"PRONTO","PENDENTE"))</x:f>
      </x:c>
      <x:c r="T36" s="142"/>
    </x:row>
    <x:row r="37" ht="19" customHeight="1">
      <x:c r="A37" s="142"/>
      <x:c r="B37" s="142"/>
      <x:c r="C37" s="142"/>
      <x:c r="D37" s="142"/>
      <x:c r="E37" s="142"/>
      <x:c r="F37" s="142"/>
      <x:c r="G37" s="142"/>
      <x:c r="H37" s="142"/>
      <x:c r="I37" s="142"/>
      <x:c r="J37" s="142"/>
      <x:c r="K37" s="142"/>
      <x:c r="L37" s="208"/>
      <x:c r="M37" s="208"/>
      <x:c r="N37" s="142"/>
      <x:c r="O37" s="142"/>
      <x:c r="P37" s="142"/>
      <x:c r="Q37" s="208"/>
      <x:c r="R37" s="208"/>
      <x:c r="S37" s="202" t="str">
        <x:f>IF(A37="","",IF(COUNTIF(F37:J37,"Sim")=5,"PRONTO","PENDENTE"))</x:f>
      </x:c>
      <x:c r="T37" s="142"/>
    </x:row>
    <x:row r="38" ht="19" customHeight="1">
      <x:c r="A38" s="142"/>
      <x:c r="B38" s="142"/>
      <x:c r="C38" s="142"/>
      <x:c r="D38" s="142"/>
      <x:c r="E38" s="142"/>
      <x:c r="F38" s="142"/>
      <x:c r="G38" s="142"/>
      <x:c r="H38" s="142"/>
      <x:c r="I38" s="142"/>
      <x:c r="J38" s="142"/>
      <x:c r="K38" s="142"/>
      <x:c r="L38" s="208"/>
      <x:c r="M38" s="208"/>
      <x:c r="N38" s="142"/>
      <x:c r="O38" s="142"/>
      <x:c r="P38" s="142"/>
      <x:c r="Q38" s="208"/>
      <x:c r="R38" s="208"/>
      <x:c r="S38" s="202" t="str">
        <x:f>IF(A38="","",IF(COUNTIF(F38:J38,"Sim")=5,"PRONTO","PENDENTE"))</x:f>
      </x:c>
      <x:c r="T38" s="142"/>
    </x:row>
    <x:row r="39" ht="19" customHeight="1">
      <x:c r="A39" s="142"/>
      <x:c r="B39" s="142"/>
      <x:c r="C39" s="142"/>
      <x:c r="D39" s="142"/>
      <x:c r="E39" s="142"/>
      <x:c r="F39" s="142"/>
      <x:c r="G39" s="142"/>
      <x:c r="H39" s="142"/>
      <x:c r="I39" s="142"/>
      <x:c r="J39" s="142"/>
      <x:c r="K39" s="142"/>
      <x:c r="L39" s="208"/>
      <x:c r="M39" s="208"/>
      <x:c r="N39" s="142"/>
      <x:c r="O39" s="142"/>
      <x:c r="P39" s="142"/>
      <x:c r="Q39" s="208"/>
      <x:c r="R39" s="208"/>
      <x:c r="S39" s="202" t="str">
        <x:f>IF(A39="","",IF(COUNTIF(F39:J39,"Sim")=5,"PRONTO","PENDENTE"))</x:f>
      </x:c>
      <x:c r="T39" s="142"/>
    </x:row>
    <x:row r="40" ht="19" customHeight="1">
      <x:c r="A40" s="142"/>
      <x:c r="B40" s="142"/>
      <x:c r="C40" s="142"/>
      <x:c r="D40" s="142"/>
      <x:c r="E40" s="142"/>
      <x:c r="F40" s="142"/>
      <x:c r="G40" s="142"/>
      <x:c r="H40" s="142"/>
      <x:c r="I40" s="142"/>
      <x:c r="J40" s="142"/>
      <x:c r="K40" s="142"/>
      <x:c r="L40" s="208"/>
      <x:c r="M40" s="208"/>
      <x:c r="N40" s="142"/>
      <x:c r="O40" s="142"/>
      <x:c r="P40" s="142"/>
      <x:c r="Q40" s="208"/>
      <x:c r="R40" s="208"/>
      <x:c r="S40" s="202" t="str">
        <x:f>IF(A40="","",IF(COUNTIF(F40:J40,"Sim")=5,"PRONTO","PENDENTE"))</x:f>
      </x:c>
      <x:c r="T40" s="142"/>
    </x:row>
    <x:row r="41" ht="19" customHeight="1">
      <x:c r="A41" s="142"/>
      <x:c r="B41" s="142"/>
      <x:c r="C41" s="142"/>
      <x:c r="D41" s="142"/>
      <x:c r="E41" s="142"/>
      <x:c r="F41" s="142"/>
      <x:c r="G41" s="142"/>
      <x:c r="H41" s="142"/>
      <x:c r="I41" s="142"/>
      <x:c r="J41" s="142"/>
      <x:c r="K41" s="142"/>
      <x:c r="L41" s="208"/>
      <x:c r="M41" s="208"/>
      <x:c r="N41" s="142"/>
      <x:c r="O41" s="142"/>
      <x:c r="P41" s="142"/>
      <x:c r="Q41" s="208"/>
      <x:c r="R41" s="208"/>
      <x:c r="S41" s="202" t="str">
        <x:f>IF(A41="","",IF(COUNTIF(F41:J41,"Sim")=5,"PRONTO","PENDENTE"))</x:f>
      </x:c>
      <x:c r="T41" s="142"/>
    </x:row>
    <x:row r="42" ht="19" customHeight="1">
      <x:c r="A42" s="142"/>
      <x:c r="B42" s="142"/>
      <x:c r="C42" s="142"/>
      <x:c r="D42" s="142"/>
      <x:c r="E42" s="142"/>
      <x:c r="F42" s="142"/>
      <x:c r="G42" s="142"/>
      <x:c r="H42" s="142"/>
      <x:c r="I42" s="142"/>
      <x:c r="J42" s="142"/>
      <x:c r="K42" s="142"/>
      <x:c r="L42" s="208"/>
      <x:c r="M42" s="208"/>
      <x:c r="N42" s="142"/>
      <x:c r="O42" s="142"/>
      <x:c r="P42" s="142"/>
      <x:c r="Q42" s="208"/>
      <x:c r="R42" s="208"/>
      <x:c r="S42" s="202" t="str">
        <x:f>IF(A42="","",IF(COUNTIF(F42:J42,"Sim")=5,"PRONTO","PENDENTE"))</x:f>
      </x:c>
      <x:c r="T42" s="142"/>
    </x:row>
    <x:row r="43" ht="19" customHeight="1">
      <x:c r="A43" s="142"/>
      <x:c r="B43" s="142"/>
      <x:c r="C43" s="142"/>
      <x:c r="D43" s="142"/>
      <x:c r="E43" s="142"/>
      <x:c r="F43" s="142"/>
      <x:c r="G43" s="142"/>
      <x:c r="H43" s="142"/>
      <x:c r="I43" s="142"/>
      <x:c r="J43" s="142"/>
      <x:c r="K43" s="142"/>
      <x:c r="L43" s="208"/>
      <x:c r="M43" s="208"/>
      <x:c r="N43" s="142"/>
      <x:c r="O43" s="142"/>
      <x:c r="P43" s="142"/>
      <x:c r="Q43" s="208"/>
      <x:c r="R43" s="208"/>
      <x:c r="S43" s="202" t="str">
        <x:f>IF(A43="","",IF(COUNTIF(F43:J43,"Sim")=5,"PRONTO","PENDENTE"))</x:f>
      </x:c>
      <x:c r="T43" s="142"/>
    </x:row>
    <x:row r="44" ht="19" customHeight="1">
      <x:c r="A44" s="142"/>
      <x:c r="B44" s="142"/>
      <x:c r="C44" s="142"/>
      <x:c r="D44" s="142"/>
      <x:c r="E44" s="142"/>
      <x:c r="F44" s="142"/>
      <x:c r="G44" s="142"/>
      <x:c r="H44" s="142"/>
      <x:c r="I44" s="142"/>
      <x:c r="J44" s="142"/>
      <x:c r="K44" s="142"/>
      <x:c r="L44" s="208"/>
      <x:c r="M44" s="208"/>
      <x:c r="N44" s="142"/>
      <x:c r="O44" s="142"/>
      <x:c r="P44" s="142"/>
      <x:c r="Q44" s="208"/>
      <x:c r="R44" s="208"/>
      <x:c r="S44" s="202" t="str">
        <x:f>IF(A44="","",IF(COUNTIF(F44:J44,"Sim")=5,"PRONTO","PENDENTE"))</x:f>
      </x:c>
      <x:c r="T44" s="142"/>
    </x:row>
    <x:row r="45" ht="19" customHeight="1">
      <x:c r="A45" s="142"/>
      <x:c r="B45" s="142"/>
      <x:c r="C45" s="142"/>
      <x:c r="D45" s="142"/>
      <x:c r="E45" s="142"/>
      <x:c r="F45" s="142"/>
      <x:c r="G45" s="142"/>
      <x:c r="H45" s="142"/>
      <x:c r="I45" s="142"/>
      <x:c r="J45" s="142"/>
      <x:c r="K45" s="142"/>
      <x:c r="L45" s="208"/>
      <x:c r="M45" s="208"/>
      <x:c r="N45" s="142"/>
      <x:c r="O45" s="142"/>
      <x:c r="P45" s="142"/>
      <x:c r="Q45" s="208"/>
      <x:c r="R45" s="208"/>
      <x:c r="S45" s="202" t="str">
        <x:f>IF(A45="","",IF(COUNTIF(F45:J45,"Sim")=5,"PRONTO","PENDENTE"))</x:f>
      </x:c>
      <x:c r="T45" s="142"/>
    </x:row>
    <x:row r="46" ht="19" customHeight="1">
      <x:c r="A46" s="142"/>
      <x:c r="B46" s="142"/>
      <x:c r="C46" s="142"/>
      <x:c r="D46" s="142"/>
      <x:c r="E46" s="142"/>
      <x:c r="F46" s="142"/>
      <x:c r="G46" s="142"/>
      <x:c r="H46" s="142"/>
      <x:c r="I46" s="142"/>
      <x:c r="J46" s="142"/>
      <x:c r="K46" s="142"/>
      <x:c r="L46" s="208"/>
      <x:c r="M46" s="208"/>
      <x:c r="N46" s="142"/>
      <x:c r="O46" s="142"/>
      <x:c r="P46" s="142"/>
      <x:c r="Q46" s="208"/>
      <x:c r="R46" s="208"/>
      <x:c r="S46" s="202" t="str">
        <x:f>IF(A46="","",IF(COUNTIF(F46:J46,"Sim")=5,"PRONTO","PENDENTE"))</x:f>
      </x:c>
      <x:c r="T46" s="142"/>
    </x:row>
    <x:row r="47" ht="19" customHeight="1">
      <x:c r="A47" s="142"/>
      <x:c r="B47" s="142"/>
      <x:c r="C47" s="142"/>
      <x:c r="D47" s="142"/>
      <x:c r="E47" s="142"/>
      <x:c r="F47" s="142"/>
      <x:c r="G47" s="142"/>
      <x:c r="H47" s="142"/>
      <x:c r="I47" s="142"/>
      <x:c r="J47" s="142"/>
      <x:c r="K47" s="142"/>
      <x:c r="L47" s="208"/>
      <x:c r="M47" s="208"/>
      <x:c r="N47" s="142"/>
      <x:c r="O47" s="142"/>
      <x:c r="P47" s="142"/>
      <x:c r="Q47" s="208"/>
      <x:c r="R47" s="208"/>
      <x:c r="S47" s="202" t="str">
        <x:f>IF(A47="","",IF(COUNTIF(F47:J47,"Sim")=5,"PRONTO","PENDENTE"))</x:f>
      </x:c>
      <x:c r="T47" s="142"/>
    </x:row>
    <x:row r="48" ht="19" customHeight="1">
      <x:c r="A48" s="142"/>
      <x:c r="B48" s="142"/>
      <x:c r="C48" s="142"/>
      <x:c r="D48" s="142"/>
      <x:c r="E48" s="142"/>
      <x:c r="F48" s="142"/>
      <x:c r="G48" s="142"/>
      <x:c r="H48" s="142"/>
      <x:c r="I48" s="142"/>
      <x:c r="J48" s="142"/>
      <x:c r="K48" s="142"/>
      <x:c r="L48" s="208"/>
      <x:c r="M48" s="208"/>
      <x:c r="N48" s="142"/>
      <x:c r="O48" s="142"/>
      <x:c r="P48" s="142"/>
      <x:c r="Q48" s="208"/>
      <x:c r="R48" s="208"/>
      <x:c r="S48" s="202" t="str">
        <x:f>IF(A48="","",IF(COUNTIF(F48:J48,"Sim")=5,"PRONTO","PENDENTE"))</x:f>
      </x:c>
      <x:c r="T48" s="142"/>
    </x:row>
    <x:row r="49" ht="19" customHeight="1">
      <x:c r="A49" s="142"/>
      <x:c r="B49" s="142"/>
      <x:c r="C49" s="142"/>
      <x:c r="D49" s="142"/>
      <x:c r="E49" s="142"/>
      <x:c r="F49" s="142"/>
      <x:c r="G49" s="142"/>
      <x:c r="H49" s="142"/>
      <x:c r="I49" s="142"/>
      <x:c r="J49" s="142"/>
      <x:c r="K49" s="142"/>
      <x:c r="L49" s="208"/>
      <x:c r="M49" s="208"/>
      <x:c r="N49" s="142"/>
      <x:c r="O49" s="142"/>
      <x:c r="P49" s="142"/>
      <x:c r="Q49" s="208"/>
      <x:c r="R49" s="208"/>
      <x:c r="S49" s="202" t="str">
        <x:f>IF(A49="","",IF(COUNTIF(F49:J49,"Sim")=5,"PRONTO","PENDENTE"))</x:f>
      </x:c>
      <x:c r="T49" s="142"/>
    </x:row>
    <x:row r="50" ht="19" customHeight="1">
      <x:c r="A50" s="142"/>
      <x:c r="B50" s="142"/>
      <x:c r="C50" s="142"/>
      <x:c r="D50" s="142"/>
      <x:c r="E50" s="142"/>
      <x:c r="F50" s="142"/>
      <x:c r="G50" s="142"/>
      <x:c r="H50" s="142"/>
      <x:c r="I50" s="142"/>
      <x:c r="J50" s="142"/>
      <x:c r="K50" s="142"/>
      <x:c r="L50" s="208"/>
      <x:c r="M50" s="208"/>
      <x:c r="N50" s="142"/>
      <x:c r="O50" s="142"/>
      <x:c r="P50" s="142"/>
      <x:c r="Q50" s="208"/>
      <x:c r="R50" s="208"/>
      <x:c r="S50" s="202" t="str">
        <x:f>IF(A50="","",IF(COUNTIF(F50:J50,"Sim")=5,"PRONTO","PENDENTE"))</x:f>
      </x:c>
      <x:c r="T50" s="142"/>
    </x:row>
    <x:row r="51" ht="19" customHeight="1">
      <x:c r="A51" s="142"/>
      <x:c r="B51" s="142"/>
      <x:c r="C51" s="142"/>
      <x:c r="D51" s="142"/>
      <x:c r="E51" s="142"/>
      <x:c r="F51" s="142"/>
      <x:c r="G51" s="142"/>
      <x:c r="H51" s="142"/>
      <x:c r="I51" s="142"/>
      <x:c r="J51" s="142"/>
      <x:c r="K51" s="142"/>
      <x:c r="L51" s="208"/>
      <x:c r="M51" s="208"/>
      <x:c r="N51" s="142"/>
      <x:c r="O51" s="142"/>
      <x:c r="P51" s="142"/>
      <x:c r="Q51" s="208"/>
      <x:c r="R51" s="208"/>
      <x:c r="S51" s="202" t="str">
        <x:f>IF(A51="","",IF(COUNTIF(F51:J51,"Sim")=5,"PRONTO","PENDENTE"))</x:f>
      </x:c>
      <x:c r="T51" s="142"/>
    </x:row>
    <x:row r="52" ht="19" customHeight="1">
      <x:c r="A52" s="142"/>
      <x:c r="B52" s="142"/>
      <x:c r="C52" s="142"/>
      <x:c r="D52" s="142"/>
      <x:c r="E52" s="142"/>
      <x:c r="F52" s="142"/>
      <x:c r="G52" s="142"/>
      <x:c r="H52" s="142"/>
      <x:c r="I52" s="142"/>
      <x:c r="J52" s="142"/>
      <x:c r="K52" s="142"/>
      <x:c r="L52" s="208"/>
      <x:c r="M52" s="208"/>
      <x:c r="N52" s="142"/>
      <x:c r="O52" s="142"/>
      <x:c r="P52" s="142"/>
      <x:c r="Q52" s="208"/>
      <x:c r="R52" s="208"/>
      <x:c r="S52" s="202" t="str">
        <x:f>IF(A52="","",IF(COUNTIF(F52:J52,"Sim")=5,"PRONTO","PENDENTE"))</x:f>
      </x:c>
      <x:c r="T52" s="142"/>
    </x:row>
    <x:row r="53" ht="19" customHeight="1">
      <x:c r="A53" s="142"/>
      <x:c r="B53" s="142"/>
      <x:c r="C53" s="142"/>
      <x:c r="D53" s="142"/>
      <x:c r="E53" s="142"/>
      <x:c r="F53" s="142"/>
      <x:c r="G53" s="142"/>
      <x:c r="H53" s="142"/>
      <x:c r="I53" s="142"/>
      <x:c r="J53" s="142"/>
      <x:c r="K53" s="142"/>
      <x:c r="L53" s="208"/>
      <x:c r="M53" s="208"/>
      <x:c r="N53" s="142"/>
      <x:c r="O53" s="142"/>
      <x:c r="P53" s="142"/>
      <x:c r="Q53" s="208"/>
      <x:c r="R53" s="208"/>
      <x:c r="S53" s="202" t="str">
        <x:f>IF(A53="","",IF(COUNTIF(F53:J53,"Sim")=5,"PRONTO","PENDENTE"))</x:f>
      </x:c>
      <x:c r="T53" s="142"/>
    </x:row>
    <x:row r="54" ht="19" customHeight="1">
      <x:c r="A54" s="142"/>
      <x:c r="B54" s="142"/>
      <x:c r="C54" s="142"/>
      <x:c r="D54" s="142"/>
      <x:c r="E54" s="142"/>
      <x:c r="F54" s="142"/>
      <x:c r="G54" s="142"/>
      <x:c r="H54" s="142"/>
      <x:c r="I54" s="142"/>
      <x:c r="J54" s="142"/>
      <x:c r="K54" s="142"/>
      <x:c r="L54" s="208"/>
      <x:c r="M54" s="208"/>
      <x:c r="N54" s="142"/>
      <x:c r="O54" s="142"/>
      <x:c r="P54" s="142"/>
      <x:c r="Q54" s="208"/>
      <x:c r="R54" s="208"/>
      <x:c r="S54" s="202" t="str">
        <x:f>IF(A54="","",IF(COUNTIF(F54:J54,"Sim")=5,"PRONTO","PENDENTE"))</x:f>
      </x:c>
      <x:c r="T54" s="142"/>
    </x:row>
    <x:row r="55" ht="19" customHeight="1">
      <x:c r="A55" s="142"/>
      <x:c r="B55" s="142"/>
      <x:c r="C55" s="142"/>
      <x:c r="D55" s="142"/>
      <x:c r="E55" s="142"/>
      <x:c r="F55" s="142"/>
      <x:c r="G55" s="142"/>
      <x:c r="H55" s="142"/>
      <x:c r="I55" s="142"/>
      <x:c r="J55" s="142"/>
      <x:c r="K55" s="142"/>
      <x:c r="L55" s="208"/>
      <x:c r="M55" s="208"/>
      <x:c r="N55" s="142"/>
      <x:c r="O55" s="142"/>
      <x:c r="P55" s="142"/>
      <x:c r="Q55" s="208"/>
      <x:c r="R55" s="208"/>
      <x:c r="S55" s="202" t="str">
        <x:f>IF(A55="","",IF(COUNTIF(F55:J55,"Sim")=5,"PRONTO","PENDENTE"))</x:f>
      </x:c>
      <x:c r="T55" s="142"/>
    </x:row>
    <x:row r="56" ht="19" customHeight="1">
      <x:c r="A56" s="142"/>
      <x:c r="B56" s="142"/>
      <x:c r="C56" s="142"/>
      <x:c r="D56" s="142"/>
      <x:c r="E56" s="142"/>
      <x:c r="F56" s="142"/>
      <x:c r="G56" s="142"/>
      <x:c r="H56" s="142"/>
      <x:c r="I56" s="142"/>
      <x:c r="J56" s="142"/>
      <x:c r="K56" s="142"/>
      <x:c r="L56" s="208"/>
      <x:c r="M56" s="208"/>
      <x:c r="N56" s="142"/>
      <x:c r="O56" s="142"/>
      <x:c r="P56" s="142"/>
      <x:c r="Q56" s="208"/>
      <x:c r="R56" s="208"/>
      <x:c r="S56" s="202" t="str">
        <x:f>IF(A56="","",IF(COUNTIF(F56:J56,"Sim")=5,"PRONTO","PENDENTE"))</x:f>
      </x:c>
      <x:c r="T56" s="142"/>
    </x:row>
    <x:row r="57" ht="19" customHeight="1">
      <x:c r="A57" s="142"/>
      <x:c r="B57" s="142"/>
      <x:c r="C57" s="142"/>
      <x:c r="D57" s="142"/>
      <x:c r="E57" s="142"/>
      <x:c r="F57" s="142"/>
      <x:c r="G57" s="142"/>
      <x:c r="H57" s="142"/>
      <x:c r="I57" s="142"/>
      <x:c r="J57" s="142"/>
      <x:c r="K57" s="142"/>
      <x:c r="L57" s="208"/>
      <x:c r="M57" s="208"/>
      <x:c r="N57" s="142"/>
      <x:c r="O57" s="142"/>
      <x:c r="P57" s="142"/>
      <x:c r="Q57" s="208"/>
      <x:c r="R57" s="208"/>
      <x:c r="S57" s="202" t="str">
        <x:f>IF(A57="","",IF(COUNTIF(F57:J57,"Sim")=5,"PRONTO","PENDENTE"))</x:f>
      </x:c>
      <x:c r="T57" s="142"/>
    </x:row>
    <x:row r="58" ht="19" customHeight="1">
      <x:c r="A58" s="142"/>
      <x:c r="B58" s="142"/>
      <x:c r="C58" s="142"/>
      <x:c r="D58" s="142"/>
      <x:c r="E58" s="142"/>
      <x:c r="F58" s="142"/>
      <x:c r="G58" s="142"/>
      <x:c r="H58" s="142"/>
      <x:c r="I58" s="142"/>
      <x:c r="J58" s="142"/>
      <x:c r="K58" s="142"/>
      <x:c r="L58" s="208"/>
      <x:c r="M58" s="208"/>
      <x:c r="N58" s="142"/>
      <x:c r="O58" s="142"/>
      <x:c r="P58" s="142"/>
      <x:c r="Q58" s="208"/>
      <x:c r="R58" s="208"/>
      <x:c r="S58" s="202" t="str">
        <x:f>IF(A58="","",IF(COUNTIF(F58:J58,"Sim")=5,"PRONTO","PENDENTE"))</x:f>
      </x:c>
      <x:c r="T58" s="142"/>
    </x:row>
    <x:row r="59" ht="19" customHeight="1">
      <x:c r="A59" s="142"/>
      <x:c r="B59" s="142"/>
      <x:c r="C59" s="142"/>
      <x:c r="D59" s="142"/>
      <x:c r="E59" s="142"/>
      <x:c r="F59" s="142"/>
      <x:c r="G59" s="142"/>
      <x:c r="H59" s="142"/>
      <x:c r="I59" s="142"/>
      <x:c r="J59" s="142"/>
      <x:c r="K59" s="142"/>
      <x:c r="L59" s="208"/>
      <x:c r="M59" s="208"/>
      <x:c r="N59" s="142"/>
      <x:c r="O59" s="142"/>
      <x:c r="P59" s="142"/>
      <x:c r="Q59" s="208"/>
      <x:c r="R59" s="208"/>
      <x:c r="S59" s="202" t="str">
        <x:f>IF(A59="","",IF(COUNTIF(F59:J59,"Sim")=5,"PRONTO","PENDENTE"))</x:f>
      </x:c>
      <x:c r="T59" s="142"/>
    </x:row>
    <x:row r="60" ht="19" customHeight="1">
      <x:c r="A60" s="142"/>
      <x:c r="B60" s="142"/>
      <x:c r="C60" s="142"/>
      <x:c r="D60" s="142"/>
      <x:c r="E60" s="142"/>
      <x:c r="F60" s="142"/>
      <x:c r="G60" s="142"/>
      <x:c r="H60" s="142"/>
      <x:c r="I60" s="142"/>
      <x:c r="J60" s="142"/>
      <x:c r="K60" s="142"/>
      <x:c r="L60" s="208"/>
      <x:c r="M60" s="208"/>
      <x:c r="N60" s="142"/>
      <x:c r="O60" s="142"/>
      <x:c r="P60" s="142"/>
      <x:c r="Q60" s="208"/>
      <x:c r="R60" s="208"/>
      <x:c r="S60" s="202" t="str">
        <x:f>IF(A60="","",IF(COUNTIF(F60:J60,"Sim")=5,"PRONTO","PENDENTE"))</x:f>
      </x:c>
      <x:c r="T60" s="142"/>
    </x:row>
    <x:row r="61" ht="19" customHeight="1">
      <x:c r="A61" s="142"/>
      <x:c r="B61" s="142"/>
      <x:c r="C61" s="142"/>
      <x:c r="D61" s="142"/>
      <x:c r="E61" s="142"/>
      <x:c r="F61" s="142"/>
      <x:c r="G61" s="142"/>
      <x:c r="H61" s="142"/>
      <x:c r="I61" s="142"/>
      <x:c r="J61" s="142"/>
      <x:c r="K61" s="142"/>
      <x:c r="L61" s="208"/>
      <x:c r="M61" s="208"/>
      <x:c r="N61" s="142"/>
      <x:c r="O61" s="142"/>
      <x:c r="P61" s="142"/>
      <x:c r="Q61" s="208"/>
      <x:c r="R61" s="208"/>
      <x:c r="S61" s="202" t="str">
        <x:f>IF(A61="","",IF(COUNTIF(F61:J61,"Sim")=5,"PRONTO","PENDENTE"))</x:f>
      </x:c>
      <x:c r="T61" s="142"/>
    </x:row>
    <x:row r="62" ht="19" customHeight="1">
      <x:c r="A62" s="142"/>
      <x:c r="B62" s="142"/>
      <x:c r="C62" s="142"/>
      <x:c r="D62" s="142"/>
      <x:c r="E62" s="142"/>
      <x:c r="F62" s="142"/>
      <x:c r="G62" s="142"/>
      <x:c r="H62" s="142"/>
      <x:c r="I62" s="142"/>
      <x:c r="J62" s="142"/>
      <x:c r="K62" s="142"/>
      <x:c r="L62" s="208"/>
      <x:c r="M62" s="208"/>
      <x:c r="N62" s="142"/>
      <x:c r="O62" s="142"/>
      <x:c r="P62" s="142"/>
      <x:c r="Q62" s="208"/>
      <x:c r="R62" s="208"/>
      <x:c r="S62" s="202" t="str">
        <x:f>IF(A62="","",IF(COUNTIF(F62:J62,"Sim")=5,"PRONTO","PENDENTE"))</x:f>
      </x:c>
      <x:c r="T62" s="142"/>
    </x:row>
    <x:row r="63" ht="19" customHeight="1">
      <x:c r="A63" s="142"/>
      <x:c r="B63" s="142"/>
      <x:c r="C63" s="142"/>
      <x:c r="D63" s="142"/>
      <x:c r="E63" s="142"/>
      <x:c r="F63" s="142"/>
      <x:c r="G63" s="142"/>
      <x:c r="H63" s="142"/>
      <x:c r="I63" s="142"/>
      <x:c r="J63" s="142"/>
      <x:c r="K63" s="142"/>
      <x:c r="L63" s="208"/>
      <x:c r="M63" s="208"/>
      <x:c r="N63" s="142"/>
      <x:c r="O63" s="142"/>
      <x:c r="P63" s="142"/>
      <x:c r="Q63" s="208"/>
      <x:c r="R63" s="208"/>
      <x:c r="S63" s="202" t="str">
        <x:f>IF(A63="","",IF(COUNTIF(F63:J63,"Sim")=5,"PRONTO","PENDENTE"))</x:f>
      </x:c>
      <x:c r="T63" s="142"/>
    </x:row>
    <x:row r="64" ht="19" customHeight="1">
      <x:c r="A64" s="142"/>
      <x:c r="B64" s="142"/>
      <x:c r="C64" s="142"/>
      <x:c r="D64" s="142"/>
      <x:c r="E64" s="142"/>
      <x:c r="F64" s="142"/>
      <x:c r="G64" s="142"/>
      <x:c r="H64" s="142"/>
      <x:c r="I64" s="142"/>
      <x:c r="J64" s="142"/>
      <x:c r="K64" s="142"/>
      <x:c r="L64" s="208"/>
      <x:c r="M64" s="208"/>
      <x:c r="N64" s="142"/>
      <x:c r="O64" s="142"/>
      <x:c r="P64" s="142"/>
      <x:c r="Q64" s="208"/>
      <x:c r="R64" s="208"/>
      <x:c r="S64" s="202" t="str">
        <x:f>IF(A64="","",IF(COUNTIF(F64:J64,"Sim")=5,"PRONTO","PENDENTE"))</x:f>
      </x:c>
      <x:c r="T64" s="142"/>
    </x:row>
    <x:row r="65" ht="19" customHeight="1">
      <x:c r="A65" s="142"/>
      <x:c r="B65" s="142"/>
      <x:c r="C65" s="142"/>
      <x:c r="D65" s="142"/>
      <x:c r="E65" s="142"/>
      <x:c r="F65" s="142"/>
      <x:c r="G65" s="142"/>
      <x:c r="H65" s="142"/>
      <x:c r="I65" s="142"/>
      <x:c r="J65" s="142"/>
      <x:c r="K65" s="142"/>
      <x:c r="L65" s="208"/>
      <x:c r="M65" s="208"/>
      <x:c r="N65" s="142"/>
      <x:c r="O65" s="142"/>
      <x:c r="P65" s="142"/>
      <x:c r="Q65" s="208"/>
      <x:c r="R65" s="208"/>
      <x:c r="S65" s="202" t="str">
        <x:f>IF(A65="","",IF(COUNTIF(F65:J65,"Sim")=5,"PRONTO","PENDENTE"))</x:f>
      </x:c>
      <x:c r="T65" s="142"/>
    </x:row>
    <x:row r="66" ht="19" customHeight="1">
      <x:c r="A66" s="142"/>
      <x:c r="B66" s="142"/>
      <x:c r="C66" s="142"/>
      <x:c r="D66" s="142"/>
      <x:c r="E66" s="142"/>
      <x:c r="F66" s="142"/>
      <x:c r="G66" s="142"/>
      <x:c r="H66" s="142"/>
      <x:c r="I66" s="142"/>
      <x:c r="J66" s="142"/>
      <x:c r="K66" s="142"/>
      <x:c r="L66" s="208"/>
      <x:c r="M66" s="208"/>
      <x:c r="N66" s="142"/>
      <x:c r="O66" s="142"/>
      <x:c r="P66" s="142"/>
      <x:c r="Q66" s="208"/>
      <x:c r="R66" s="208"/>
      <x:c r="S66" s="202" t="str">
        <x:f>IF(A66="","",IF(COUNTIF(F66:J66,"Sim")=5,"PRONTO","PENDENTE"))</x:f>
      </x:c>
      <x:c r="T66" s="142"/>
    </x:row>
    <x:row r="67" ht="19" customHeight="1">
      <x:c r="A67" s="142"/>
      <x:c r="B67" s="142"/>
      <x:c r="C67" s="142"/>
      <x:c r="D67" s="142"/>
      <x:c r="E67" s="142"/>
      <x:c r="F67" s="142"/>
      <x:c r="G67" s="142"/>
      <x:c r="H67" s="142"/>
      <x:c r="I67" s="142"/>
      <x:c r="J67" s="142"/>
      <x:c r="K67" s="142"/>
      <x:c r="L67" s="208"/>
      <x:c r="M67" s="208"/>
      <x:c r="N67" s="142"/>
      <x:c r="O67" s="142"/>
      <x:c r="P67" s="142"/>
      <x:c r="Q67" s="208"/>
      <x:c r="R67" s="208"/>
      <x:c r="S67" s="202" t="str">
        <x:f>IF(A67="","",IF(COUNTIF(F67:J67,"Sim")=5,"PRONTO","PENDENTE"))</x:f>
      </x:c>
      <x:c r="T67" s="142"/>
    </x:row>
    <x:row r="68" ht="19" customHeight="1">
      <x:c r="A68" s="142"/>
      <x:c r="B68" s="142"/>
      <x:c r="C68" s="142"/>
      <x:c r="D68" s="142"/>
      <x:c r="E68" s="142"/>
      <x:c r="F68" s="142"/>
      <x:c r="G68" s="142"/>
      <x:c r="H68" s="142"/>
      <x:c r="I68" s="142"/>
      <x:c r="J68" s="142"/>
      <x:c r="K68" s="142"/>
      <x:c r="L68" s="208"/>
      <x:c r="M68" s="208"/>
      <x:c r="N68" s="142"/>
      <x:c r="O68" s="142"/>
      <x:c r="P68" s="142"/>
      <x:c r="Q68" s="208"/>
      <x:c r="R68" s="208"/>
      <x:c r="S68" s="202" t="str">
        <x:f>IF(A68="","",IF(COUNTIF(F68:J68,"Sim")=5,"PRONTO","PENDENTE"))</x:f>
      </x:c>
      <x:c r="T68" s="142"/>
    </x:row>
    <x:row r="69" ht="19" customHeight="1">
      <x:c r="A69" s="142"/>
      <x:c r="B69" s="142"/>
      <x:c r="C69" s="142"/>
      <x:c r="D69" s="142"/>
      <x:c r="E69" s="142"/>
      <x:c r="F69" s="142"/>
      <x:c r="G69" s="142"/>
      <x:c r="H69" s="142"/>
      <x:c r="I69" s="142"/>
      <x:c r="J69" s="142"/>
      <x:c r="K69" s="142"/>
      <x:c r="L69" s="208"/>
      <x:c r="M69" s="208"/>
      <x:c r="N69" s="142"/>
      <x:c r="O69" s="142"/>
      <x:c r="P69" s="142"/>
      <x:c r="Q69" s="208"/>
      <x:c r="R69" s="208"/>
      <x:c r="S69" s="202" t="str">
        <x:f>IF(A69="","",IF(COUNTIF(F69:J69,"Sim")=5,"PRONTO","PENDENTE"))</x:f>
      </x:c>
      <x:c r="T69" s="142"/>
    </x:row>
    <x:row r="70" ht="19" customHeight="1">
      <x:c r="A70" s="142"/>
      <x:c r="B70" s="142"/>
      <x:c r="C70" s="142"/>
      <x:c r="D70" s="142"/>
      <x:c r="E70" s="142"/>
      <x:c r="F70" s="142"/>
      <x:c r="G70" s="142"/>
      <x:c r="H70" s="142"/>
      <x:c r="I70" s="142"/>
      <x:c r="J70" s="142"/>
      <x:c r="K70" s="142"/>
      <x:c r="L70" s="208"/>
      <x:c r="M70" s="208"/>
      <x:c r="N70" s="142"/>
      <x:c r="O70" s="142"/>
      <x:c r="P70" s="142"/>
      <x:c r="Q70" s="208"/>
      <x:c r="R70" s="208"/>
      <x:c r="S70" s="202" t="str">
        <x:f>IF(A70="","",IF(COUNTIF(F70:J70,"Sim")=5,"PRONTO","PENDENTE"))</x:f>
      </x:c>
      <x:c r="T70" s="142"/>
    </x:row>
    <x:row r="71" ht="19" customHeight="1">
      <x:c r="A71" s="142"/>
      <x:c r="B71" s="142"/>
      <x:c r="C71" s="142"/>
      <x:c r="D71" s="142"/>
      <x:c r="E71" s="142"/>
      <x:c r="F71" s="142"/>
      <x:c r="G71" s="142"/>
      <x:c r="H71" s="142"/>
      <x:c r="I71" s="142"/>
      <x:c r="J71" s="142"/>
      <x:c r="K71" s="142"/>
      <x:c r="L71" s="208"/>
      <x:c r="M71" s="208"/>
      <x:c r="N71" s="142"/>
      <x:c r="O71" s="142"/>
      <x:c r="P71" s="142"/>
      <x:c r="Q71" s="208"/>
      <x:c r="R71" s="208"/>
      <x:c r="S71" s="202" t="str">
        <x:f>IF(A71="","",IF(COUNTIF(F71:J71,"Sim")=5,"PRONTO","PENDENTE"))</x:f>
      </x:c>
      <x:c r="T71" s="142"/>
    </x:row>
    <x:row r="72" ht="19" customHeight="1">
      <x:c r="A72" s="142"/>
      <x:c r="B72" s="142"/>
      <x:c r="C72" s="142"/>
      <x:c r="D72" s="142"/>
      <x:c r="E72" s="142"/>
      <x:c r="F72" s="142"/>
      <x:c r="G72" s="142"/>
      <x:c r="H72" s="142"/>
      <x:c r="I72" s="142"/>
      <x:c r="J72" s="142"/>
      <x:c r="K72" s="142"/>
      <x:c r="L72" s="208"/>
      <x:c r="M72" s="208"/>
      <x:c r="N72" s="142"/>
      <x:c r="O72" s="142"/>
      <x:c r="P72" s="142"/>
      <x:c r="Q72" s="208"/>
      <x:c r="R72" s="208"/>
      <x:c r="S72" s="202" t="str">
        <x:f>IF(A72="","",IF(COUNTIF(F72:J72,"Sim")=5,"PRONTO","PENDENTE"))</x:f>
      </x:c>
      <x:c r="T72" s="142"/>
    </x:row>
    <x:row r="73" ht="19" customHeight="1">
      <x:c r="A73" s="142"/>
      <x:c r="B73" s="142"/>
      <x:c r="C73" s="142"/>
      <x:c r="D73" s="142"/>
      <x:c r="E73" s="142"/>
      <x:c r="F73" s="142"/>
      <x:c r="G73" s="142"/>
      <x:c r="H73" s="142"/>
      <x:c r="I73" s="142"/>
      <x:c r="J73" s="142"/>
      <x:c r="K73" s="142"/>
      <x:c r="L73" s="208"/>
      <x:c r="M73" s="208"/>
      <x:c r="N73" s="142"/>
      <x:c r="O73" s="142"/>
      <x:c r="P73" s="142"/>
      <x:c r="Q73" s="208"/>
      <x:c r="R73" s="208"/>
      <x:c r="S73" s="202" t="str">
        <x:f>IF(A73="","",IF(COUNTIF(F73:J73,"Sim")=5,"PRONTO","PENDENTE"))</x:f>
      </x:c>
      <x:c r="T73" s="142"/>
    </x:row>
    <x:row r="74" ht="19" customHeight="1">
      <x:c r="A74" s="142"/>
      <x:c r="B74" s="142"/>
      <x:c r="C74" s="142"/>
      <x:c r="D74" s="142"/>
      <x:c r="E74" s="142"/>
      <x:c r="F74" s="142"/>
      <x:c r="G74" s="142"/>
      <x:c r="H74" s="142"/>
      <x:c r="I74" s="142"/>
      <x:c r="J74" s="142"/>
      <x:c r="K74" s="142"/>
      <x:c r="L74" s="208"/>
      <x:c r="M74" s="208"/>
      <x:c r="N74" s="142"/>
      <x:c r="O74" s="142"/>
      <x:c r="P74" s="142"/>
      <x:c r="Q74" s="208"/>
      <x:c r="R74" s="208"/>
      <x:c r="S74" s="202" t="str">
        <x:f>IF(A74="","",IF(COUNTIF(F74:J74,"Sim")=5,"PRONTO","PENDENTE"))</x:f>
      </x:c>
      <x:c r="T74" s="142"/>
    </x:row>
    <x:row r="75" ht="19" customHeight="1">
      <x:c r="A75" s="142"/>
      <x:c r="B75" s="142"/>
      <x:c r="C75" s="142"/>
      <x:c r="D75" s="142"/>
      <x:c r="E75" s="142"/>
      <x:c r="F75" s="142"/>
      <x:c r="G75" s="142"/>
      <x:c r="H75" s="142"/>
      <x:c r="I75" s="142"/>
      <x:c r="J75" s="142"/>
      <x:c r="K75" s="142"/>
      <x:c r="L75" s="208"/>
      <x:c r="M75" s="208"/>
      <x:c r="N75" s="142"/>
      <x:c r="O75" s="142"/>
      <x:c r="P75" s="142"/>
      <x:c r="Q75" s="208"/>
      <x:c r="R75" s="208"/>
      <x:c r="S75" s="202" t="str">
        <x:f>IF(A75="","",IF(COUNTIF(F75:J75,"Sim")=5,"PRONTO","PENDENTE"))</x:f>
      </x:c>
      <x:c r="T75" s="142"/>
    </x:row>
    <x:row r="76" ht="19" customHeight="1">
      <x:c r="A76" s="142"/>
      <x:c r="B76" s="142"/>
      <x:c r="C76" s="142"/>
      <x:c r="D76" s="142"/>
      <x:c r="E76" s="142"/>
      <x:c r="F76" s="142"/>
      <x:c r="G76" s="142"/>
      <x:c r="H76" s="142"/>
      <x:c r="I76" s="142"/>
      <x:c r="J76" s="142"/>
      <x:c r="K76" s="142"/>
      <x:c r="L76" s="208"/>
      <x:c r="M76" s="208"/>
      <x:c r="N76" s="142"/>
      <x:c r="O76" s="142"/>
      <x:c r="P76" s="142"/>
      <x:c r="Q76" s="208"/>
      <x:c r="R76" s="208"/>
      <x:c r="S76" s="202" t="str">
        <x:f>IF(A76="","",IF(COUNTIF(F76:J76,"Sim")=5,"PRONTO","PENDENTE"))</x:f>
      </x:c>
      <x:c r="T76" s="142"/>
    </x:row>
    <x:row r="77" ht="19" customHeight="1">
      <x:c r="A77" s="142"/>
      <x:c r="B77" s="142"/>
      <x:c r="C77" s="142"/>
      <x:c r="D77" s="142"/>
      <x:c r="E77" s="142"/>
      <x:c r="F77" s="142"/>
      <x:c r="G77" s="142"/>
      <x:c r="H77" s="142"/>
      <x:c r="I77" s="142"/>
      <x:c r="J77" s="142"/>
      <x:c r="K77" s="142"/>
      <x:c r="L77" s="208"/>
      <x:c r="M77" s="208"/>
      <x:c r="N77" s="142"/>
      <x:c r="O77" s="142"/>
      <x:c r="P77" s="142"/>
      <x:c r="Q77" s="208"/>
      <x:c r="R77" s="208"/>
      <x:c r="S77" s="202" t="str">
        <x:f>IF(A77="","",IF(COUNTIF(F77:J77,"Sim")=5,"PRONTO","PENDENTE"))</x:f>
      </x:c>
      <x:c r="T77" s="142"/>
    </x:row>
    <x:row r="78" ht="19" customHeight="1">
      <x:c r="A78" s="142"/>
      <x:c r="B78" s="142"/>
      <x:c r="C78" s="142"/>
      <x:c r="D78" s="142"/>
      <x:c r="E78" s="142"/>
      <x:c r="F78" s="142"/>
      <x:c r="G78" s="142"/>
      <x:c r="H78" s="142"/>
      <x:c r="I78" s="142"/>
      <x:c r="J78" s="142"/>
      <x:c r="K78" s="142"/>
      <x:c r="L78" s="208"/>
      <x:c r="M78" s="208"/>
      <x:c r="N78" s="142"/>
      <x:c r="O78" s="142"/>
      <x:c r="P78" s="142"/>
      <x:c r="Q78" s="208"/>
      <x:c r="R78" s="208"/>
      <x:c r="S78" s="202" t="str">
        <x:f>IF(A78="","",IF(COUNTIF(F78:J78,"Sim")=5,"PRONTO","PENDENTE"))</x:f>
      </x:c>
      <x:c r="T78" s="142"/>
    </x:row>
    <x:row r="79" ht="19" customHeight="1">
      <x:c r="A79" s="142"/>
      <x:c r="B79" s="142"/>
      <x:c r="C79" s="142"/>
      <x:c r="D79" s="142"/>
      <x:c r="E79" s="142"/>
      <x:c r="F79" s="142"/>
      <x:c r="G79" s="142"/>
      <x:c r="H79" s="142"/>
      <x:c r="I79" s="142"/>
      <x:c r="J79" s="142"/>
      <x:c r="K79" s="142"/>
      <x:c r="L79" s="208"/>
      <x:c r="M79" s="208"/>
      <x:c r="N79" s="142"/>
      <x:c r="O79" s="142"/>
      <x:c r="P79" s="142"/>
      <x:c r="Q79" s="208"/>
      <x:c r="R79" s="208"/>
      <x:c r="S79" s="202" t="str">
        <x:f>IF(A79="","",IF(COUNTIF(F79:J79,"Sim")=5,"PRONTO","PENDENTE"))</x:f>
      </x:c>
      <x:c r="T79" s="142"/>
    </x:row>
    <x:row r="80" ht="19" customHeight="1">
      <x:c r="A80" s="142"/>
      <x:c r="B80" s="142"/>
      <x:c r="C80" s="142"/>
      <x:c r="D80" s="142"/>
      <x:c r="E80" s="142"/>
      <x:c r="F80" s="142"/>
      <x:c r="G80" s="142"/>
      <x:c r="H80" s="142"/>
      <x:c r="I80" s="142"/>
      <x:c r="J80" s="142"/>
      <x:c r="K80" s="142"/>
      <x:c r="L80" s="208"/>
      <x:c r="M80" s="208"/>
      <x:c r="N80" s="142"/>
      <x:c r="O80" s="142"/>
      <x:c r="P80" s="142"/>
      <x:c r="Q80" s="208"/>
      <x:c r="R80" s="208"/>
      <x:c r="S80" s="202" t="str">
        <x:f>IF(A80="","",IF(COUNTIF(F80:J80,"Sim")=5,"PRONTO","PENDENTE"))</x:f>
      </x:c>
      <x:c r="T80" s="142"/>
    </x:row>
    <x:row r="81" ht="19" customHeight="1">
      <x:c r="A81" s="142"/>
      <x:c r="B81" s="142"/>
      <x:c r="C81" s="142"/>
      <x:c r="D81" s="142"/>
      <x:c r="E81" s="142"/>
      <x:c r="F81" s="142"/>
      <x:c r="G81" s="142"/>
      <x:c r="H81" s="142"/>
      <x:c r="I81" s="142"/>
      <x:c r="J81" s="142"/>
      <x:c r="K81" s="142"/>
      <x:c r="L81" s="208"/>
      <x:c r="M81" s="208"/>
      <x:c r="N81" s="142"/>
      <x:c r="O81" s="142"/>
      <x:c r="P81" s="142"/>
      <x:c r="Q81" s="208"/>
      <x:c r="R81" s="208"/>
      <x:c r="S81" s="202" t="str">
        <x:f>IF(A81="","",IF(COUNTIF(F81:J81,"Sim")=5,"PRONTO","PENDENTE"))</x:f>
      </x:c>
      <x:c r="T81" s="142"/>
    </x:row>
    <x:row r="82" ht="19" customHeight="1">
      <x:c r="A82" s="142"/>
      <x:c r="B82" s="142"/>
      <x:c r="C82" s="142"/>
      <x:c r="D82" s="142"/>
      <x:c r="E82" s="142"/>
      <x:c r="F82" s="142"/>
      <x:c r="G82" s="142"/>
      <x:c r="H82" s="142"/>
      <x:c r="I82" s="142"/>
      <x:c r="J82" s="142"/>
      <x:c r="K82" s="142"/>
      <x:c r="L82" s="208"/>
      <x:c r="M82" s="208"/>
      <x:c r="N82" s="142"/>
      <x:c r="O82" s="142"/>
      <x:c r="P82" s="142"/>
      <x:c r="Q82" s="208"/>
      <x:c r="R82" s="208"/>
      <x:c r="S82" s="202" t="str">
        <x:f>IF(A82="","",IF(COUNTIF(F82:J82,"Sim")=5,"PRONTO","PENDENTE"))</x:f>
      </x:c>
      <x:c r="T82" s="142"/>
    </x:row>
    <x:row r="83" ht="19" customHeight="1">
      <x:c r="A83" s="142"/>
      <x:c r="B83" s="142"/>
      <x:c r="C83" s="142"/>
      <x:c r="D83" s="142"/>
      <x:c r="E83" s="142"/>
      <x:c r="F83" s="142"/>
      <x:c r="G83" s="142"/>
      <x:c r="H83" s="142"/>
      <x:c r="I83" s="142"/>
      <x:c r="J83" s="142"/>
      <x:c r="K83" s="142"/>
      <x:c r="L83" s="208"/>
      <x:c r="M83" s="208"/>
      <x:c r="N83" s="142"/>
      <x:c r="O83" s="142"/>
      <x:c r="P83" s="142"/>
      <x:c r="Q83" s="208"/>
      <x:c r="R83" s="208"/>
      <x:c r="S83" s="202" t="str">
        <x:f>IF(A83="","",IF(COUNTIF(F83:J83,"Sim")=5,"PRONTO","PENDENTE"))</x:f>
      </x:c>
      <x:c r="T83" s="142"/>
    </x:row>
    <x:row r="84" ht="19" customHeight="1">
      <x:c r="A84" s="142"/>
      <x:c r="B84" s="142"/>
      <x:c r="C84" s="142"/>
      <x:c r="D84" s="142"/>
      <x:c r="E84" s="142"/>
      <x:c r="F84" s="142"/>
      <x:c r="G84" s="142"/>
      <x:c r="H84" s="142"/>
      <x:c r="I84" s="142"/>
      <x:c r="J84" s="142"/>
      <x:c r="K84" s="142"/>
      <x:c r="L84" s="208"/>
      <x:c r="M84" s="208"/>
      <x:c r="N84" s="142"/>
      <x:c r="O84" s="142"/>
      <x:c r="P84" s="142"/>
      <x:c r="Q84" s="208"/>
      <x:c r="R84" s="208"/>
      <x:c r="S84" s="202" t="str">
        <x:f>IF(A84="","",IF(COUNTIF(F84:J84,"Sim")=5,"PRONTO","PENDENTE"))</x:f>
      </x:c>
      <x:c r="T84" s="142"/>
    </x:row>
    <x:row r="85" ht="19" customHeight="1">
      <x:c r="A85" s="142"/>
      <x:c r="B85" s="142"/>
      <x:c r="C85" s="142"/>
      <x:c r="D85" s="142"/>
      <x:c r="E85" s="142"/>
      <x:c r="F85" s="142"/>
      <x:c r="G85" s="142"/>
      <x:c r="H85" s="142"/>
      <x:c r="I85" s="142"/>
      <x:c r="J85" s="142"/>
      <x:c r="K85" s="142"/>
      <x:c r="L85" s="208"/>
      <x:c r="M85" s="208"/>
      <x:c r="N85" s="142"/>
      <x:c r="O85" s="142"/>
      <x:c r="P85" s="142"/>
      <x:c r="Q85" s="208"/>
      <x:c r="R85" s="208"/>
      <x:c r="S85" s="202" t="str">
        <x:f>IF(A85="","",IF(COUNTIF(F85:J85,"Sim")=5,"PRONTO","PENDENTE"))</x:f>
      </x:c>
      <x:c r="T85" s="142"/>
    </x:row>
    <x:row r="86" ht="19" customHeight="1">
      <x:c r="A86" s="142"/>
      <x:c r="B86" s="142"/>
      <x:c r="C86" s="142"/>
      <x:c r="D86" s="142"/>
      <x:c r="E86" s="142"/>
      <x:c r="F86" s="142"/>
      <x:c r="G86" s="142"/>
      <x:c r="H86" s="142"/>
      <x:c r="I86" s="142"/>
      <x:c r="J86" s="142"/>
      <x:c r="K86" s="142"/>
      <x:c r="L86" s="208"/>
      <x:c r="M86" s="208"/>
      <x:c r="N86" s="142"/>
      <x:c r="O86" s="142"/>
      <x:c r="P86" s="142"/>
      <x:c r="Q86" s="208"/>
      <x:c r="R86" s="208"/>
      <x:c r="S86" s="202" t="str">
        <x:f>IF(A86="","",IF(COUNTIF(F86:J86,"Sim")=5,"PRONTO","PENDENTE"))</x:f>
      </x:c>
      <x:c r="T86" s="142"/>
    </x:row>
    <x:row r="87" ht="19" customHeight="1">
      <x:c r="A87" s="142"/>
      <x:c r="B87" s="142"/>
      <x:c r="C87" s="142"/>
      <x:c r="D87" s="142"/>
      <x:c r="E87" s="142"/>
      <x:c r="F87" s="142"/>
      <x:c r="G87" s="142"/>
      <x:c r="H87" s="142"/>
      <x:c r="I87" s="142"/>
      <x:c r="J87" s="142"/>
      <x:c r="K87" s="142"/>
      <x:c r="L87" s="208"/>
      <x:c r="M87" s="208"/>
      <x:c r="N87" s="142"/>
      <x:c r="O87" s="142"/>
      <x:c r="P87" s="142"/>
      <x:c r="Q87" s="208"/>
      <x:c r="R87" s="208"/>
      <x:c r="S87" s="202" t="str">
        <x:f>IF(A87="","",IF(COUNTIF(F87:J87,"Sim")=5,"PRONTO","PENDENTE"))</x:f>
      </x:c>
      <x:c r="T87" s="142"/>
    </x:row>
    <x:row r="88" ht="19" customHeight="1">
      <x:c r="A88" s="142"/>
      <x:c r="B88" s="142"/>
      <x:c r="C88" s="142"/>
      <x:c r="D88" s="142"/>
      <x:c r="E88" s="142"/>
      <x:c r="F88" s="142"/>
      <x:c r="G88" s="142"/>
      <x:c r="H88" s="142"/>
      <x:c r="I88" s="142"/>
      <x:c r="J88" s="142"/>
      <x:c r="K88" s="142"/>
      <x:c r="L88" s="208"/>
      <x:c r="M88" s="208"/>
      <x:c r="N88" s="142"/>
      <x:c r="O88" s="142"/>
      <x:c r="P88" s="142"/>
      <x:c r="Q88" s="208"/>
      <x:c r="R88" s="208"/>
      <x:c r="S88" s="202" t="str">
        <x:f>IF(A88="","",IF(COUNTIF(F88:J88,"Sim")=5,"PRONTO","PENDENTE"))</x:f>
      </x:c>
      <x:c r="T88" s="142"/>
    </x:row>
    <x:row r="89" ht="19" customHeight="1">
      <x:c r="A89" s="142"/>
      <x:c r="B89" s="142"/>
      <x:c r="C89" s="142"/>
      <x:c r="D89" s="142"/>
      <x:c r="E89" s="142"/>
      <x:c r="F89" s="142"/>
      <x:c r="G89" s="142"/>
      <x:c r="H89" s="142"/>
      <x:c r="I89" s="142"/>
      <x:c r="J89" s="142"/>
      <x:c r="K89" s="142"/>
      <x:c r="L89" s="208"/>
      <x:c r="M89" s="208"/>
      <x:c r="N89" s="142"/>
      <x:c r="O89" s="142"/>
      <x:c r="P89" s="142"/>
      <x:c r="Q89" s="208"/>
      <x:c r="R89" s="208"/>
      <x:c r="S89" s="202" t="str">
        <x:f>IF(A89="","",IF(COUNTIF(F89:J89,"Sim")=5,"PRONTO","PENDENTE"))</x:f>
      </x:c>
      <x:c r="T89" s="142"/>
    </x:row>
    <x:row r="90" ht="19" customHeight="1">
      <x:c r="A90" s="142"/>
      <x:c r="B90" s="142"/>
      <x:c r="C90" s="142"/>
      <x:c r="D90" s="142"/>
      <x:c r="E90" s="142"/>
      <x:c r="F90" s="142"/>
      <x:c r="G90" s="142"/>
      <x:c r="H90" s="142"/>
      <x:c r="I90" s="142"/>
      <x:c r="J90" s="142"/>
      <x:c r="K90" s="142"/>
      <x:c r="L90" s="208"/>
      <x:c r="M90" s="208"/>
      <x:c r="N90" s="142"/>
      <x:c r="O90" s="142"/>
      <x:c r="P90" s="142"/>
      <x:c r="Q90" s="208"/>
      <x:c r="R90" s="208"/>
      <x:c r="S90" s="202" t="str">
        <x:f>IF(A90="","",IF(COUNTIF(F90:J90,"Sim")=5,"PRONTO","PENDENTE"))</x:f>
      </x:c>
      <x:c r="T90" s="142"/>
    </x:row>
    <x:row r="91" ht="19" customHeight="1">
      <x:c r="A91" s="142"/>
      <x:c r="B91" s="142"/>
      <x:c r="C91" s="142"/>
      <x:c r="D91" s="142"/>
      <x:c r="E91" s="142"/>
      <x:c r="F91" s="142"/>
      <x:c r="G91" s="142"/>
      <x:c r="H91" s="142"/>
      <x:c r="I91" s="142"/>
      <x:c r="J91" s="142"/>
      <x:c r="K91" s="142"/>
      <x:c r="L91" s="208"/>
      <x:c r="M91" s="208"/>
      <x:c r="N91" s="142"/>
      <x:c r="O91" s="142"/>
      <x:c r="P91" s="142"/>
      <x:c r="Q91" s="208"/>
      <x:c r="R91" s="208"/>
      <x:c r="S91" s="202" t="str">
        <x:f>IF(A91="","",IF(COUNTIF(F91:J91,"Sim")=5,"PRONTO","PENDENTE"))</x:f>
      </x:c>
      <x:c r="T91" s="142"/>
    </x:row>
    <x:row r="92" ht="19" customHeight="1">
      <x:c r="A92" s="142"/>
      <x:c r="B92" s="142"/>
      <x:c r="C92" s="142"/>
      <x:c r="D92" s="142"/>
      <x:c r="E92" s="142"/>
      <x:c r="F92" s="142"/>
      <x:c r="G92" s="142"/>
      <x:c r="H92" s="142"/>
      <x:c r="I92" s="142"/>
      <x:c r="J92" s="142"/>
      <x:c r="K92" s="142"/>
      <x:c r="L92" s="208"/>
      <x:c r="M92" s="208"/>
      <x:c r="N92" s="142"/>
      <x:c r="O92" s="142"/>
      <x:c r="P92" s="142"/>
      <x:c r="Q92" s="208"/>
      <x:c r="R92" s="208"/>
      <x:c r="S92" s="202" t="str">
        <x:f>IF(A92="","",IF(COUNTIF(F92:J92,"Sim")=5,"PRONTO","PENDENTE"))</x:f>
      </x:c>
      <x:c r="T92" s="142"/>
    </x:row>
    <x:row r="93" ht="19" customHeight="1">
      <x:c r="A93" s="142"/>
      <x:c r="B93" s="142"/>
      <x:c r="C93" s="142"/>
      <x:c r="D93" s="142"/>
      <x:c r="E93" s="142"/>
      <x:c r="F93" s="142"/>
      <x:c r="G93" s="142"/>
      <x:c r="H93" s="142"/>
      <x:c r="I93" s="142"/>
      <x:c r="J93" s="142"/>
      <x:c r="K93" s="142"/>
      <x:c r="L93" s="208"/>
      <x:c r="M93" s="208"/>
      <x:c r="N93" s="142"/>
      <x:c r="O93" s="142"/>
      <x:c r="P93" s="142"/>
      <x:c r="Q93" s="208"/>
      <x:c r="R93" s="208"/>
      <x:c r="S93" s="202" t="str">
        <x:f>IF(A93="","",IF(COUNTIF(F93:J93,"Sim")=5,"PRONTO","PENDENTE"))</x:f>
      </x:c>
      <x:c r="T93" s="142"/>
    </x:row>
    <x:row r="94" ht="19" customHeight="1">
      <x:c r="A94" s="142"/>
      <x:c r="B94" s="142"/>
      <x:c r="C94" s="142"/>
      <x:c r="D94" s="142"/>
      <x:c r="E94" s="142"/>
      <x:c r="F94" s="142"/>
      <x:c r="G94" s="142"/>
      <x:c r="H94" s="142"/>
      <x:c r="I94" s="142"/>
      <x:c r="J94" s="142"/>
      <x:c r="K94" s="142"/>
      <x:c r="L94" s="208"/>
      <x:c r="M94" s="208"/>
      <x:c r="N94" s="142"/>
      <x:c r="O94" s="142"/>
      <x:c r="P94" s="142"/>
      <x:c r="Q94" s="208"/>
      <x:c r="R94" s="208"/>
      <x:c r="S94" s="202" t="str">
        <x:f>IF(A94="","",IF(COUNTIF(F94:J94,"Sim")=5,"PRONTO","PENDENTE"))</x:f>
      </x:c>
      <x:c r="T94" s="142"/>
    </x:row>
    <x:row r="95" ht="19" customHeight="1">
      <x:c r="A95" s="142"/>
      <x:c r="B95" s="142"/>
      <x:c r="C95" s="142"/>
      <x:c r="D95" s="142"/>
      <x:c r="E95" s="142"/>
      <x:c r="F95" s="142"/>
      <x:c r="G95" s="142"/>
      <x:c r="H95" s="142"/>
      <x:c r="I95" s="142"/>
      <x:c r="J95" s="142"/>
      <x:c r="K95" s="142"/>
      <x:c r="L95" s="208"/>
      <x:c r="M95" s="208"/>
      <x:c r="N95" s="142"/>
      <x:c r="O95" s="142"/>
      <x:c r="P95" s="142"/>
      <x:c r="Q95" s="208"/>
      <x:c r="R95" s="208"/>
      <x:c r="S95" s="202" t="str">
        <x:f>IF(A95="","",IF(COUNTIF(F95:J95,"Sim")=5,"PRONTO","PENDENTE"))</x:f>
      </x:c>
      <x:c r="T95" s="142"/>
    </x:row>
    <x:row r="96" ht="19" customHeight="1">
      <x:c r="A96" s="142"/>
      <x:c r="B96" s="142"/>
      <x:c r="C96" s="142"/>
      <x:c r="D96" s="142"/>
      <x:c r="E96" s="142"/>
      <x:c r="F96" s="142"/>
      <x:c r="G96" s="142"/>
      <x:c r="H96" s="142"/>
      <x:c r="I96" s="142"/>
      <x:c r="J96" s="142"/>
      <x:c r="K96" s="142"/>
      <x:c r="L96" s="208"/>
      <x:c r="M96" s="208"/>
      <x:c r="N96" s="142"/>
      <x:c r="O96" s="142"/>
      <x:c r="P96" s="142"/>
      <x:c r="Q96" s="208"/>
      <x:c r="R96" s="208"/>
      <x:c r="S96" s="202" t="str">
        <x:f>IF(A96="","",IF(COUNTIF(F96:J96,"Sim")=5,"PRONTO","PENDENTE"))</x:f>
      </x:c>
      <x:c r="T96" s="142"/>
    </x:row>
    <x:row r="97" ht="19" customHeight="1">
      <x:c r="A97" s="142"/>
      <x:c r="B97" s="142"/>
      <x:c r="C97" s="142"/>
      <x:c r="D97" s="142"/>
      <x:c r="E97" s="142"/>
      <x:c r="F97" s="142"/>
      <x:c r="G97" s="142"/>
      <x:c r="H97" s="142"/>
      <x:c r="I97" s="142"/>
      <x:c r="J97" s="142"/>
      <x:c r="K97" s="142"/>
      <x:c r="L97" s="208"/>
      <x:c r="M97" s="208"/>
      <x:c r="N97" s="142"/>
      <x:c r="O97" s="142"/>
      <x:c r="P97" s="142"/>
      <x:c r="Q97" s="208"/>
      <x:c r="R97" s="208"/>
      <x:c r="S97" s="202" t="str">
        <x:f>IF(A97="","",IF(COUNTIF(F97:J97,"Sim")=5,"PRONTO","PENDENTE"))</x:f>
      </x:c>
      <x:c r="T97" s="142"/>
    </x:row>
    <x:row r="98" ht="19" customHeight="1">
      <x:c r="A98" s="142"/>
      <x:c r="B98" s="142"/>
      <x:c r="C98" s="142"/>
      <x:c r="D98" s="142"/>
      <x:c r="E98" s="142"/>
      <x:c r="F98" s="142"/>
      <x:c r="G98" s="142"/>
      <x:c r="H98" s="142"/>
      <x:c r="I98" s="142"/>
      <x:c r="J98" s="142"/>
      <x:c r="K98" s="142"/>
      <x:c r="L98" s="208"/>
      <x:c r="M98" s="208"/>
      <x:c r="N98" s="142"/>
      <x:c r="O98" s="142"/>
      <x:c r="P98" s="142"/>
      <x:c r="Q98" s="208"/>
      <x:c r="R98" s="208"/>
      <x:c r="S98" s="202" t="str">
        <x:f>IF(A98="","",IF(COUNTIF(F98:J98,"Sim")=5,"PRONTO","PENDENTE"))</x:f>
      </x:c>
      <x:c r="T98" s="142"/>
    </x:row>
    <x:row r="99" ht="19" customHeight="1">
      <x:c r="A99" s="142"/>
      <x:c r="B99" s="142"/>
      <x:c r="C99" s="142"/>
      <x:c r="D99" s="142"/>
      <x:c r="E99" s="142"/>
      <x:c r="F99" s="142"/>
      <x:c r="G99" s="142"/>
      <x:c r="H99" s="142"/>
      <x:c r="I99" s="142"/>
      <x:c r="J99" s="142"/>
      <x:c r="K99" s="142"/>
      <x:c r="L99" s="208"/>
      <x:c r="M99" s="208"/>
      <x:c r="N99" s="142"/>
      <x:c r="O99" s="142"/>
      <x:c r="P99" s="142"/>
      <x:c r="Q99" s="208"/>
      <x:c r="R99" s="208"/>
      <x:c r="S99" s="202" t="str">
        <x:f>IF(A99="","",IF(COUNTIF(F99:J99,"Sim")=5,"PRONTO","PENDENTE"))</x:f>
      </x:c>
      <x:c r="T99" s="142"/>
    </x:row>
    <x:row r="100" ht="19" customHeight="1">
      <x:c r="A100" s="142"/>
      <x:c r="B100" s="142"/>
      <x:c r="C100" s="142"/>
      <x:c r="D100" s="142"/>
      <x:c r="E100" s="142"/>
      <x:c r="F100" s="142"/>
      <x:c r="G100" s="142"/>
      <x:c r="H100" s="142"/>
      <x:c r="I100" s="142"/>
      <x:c r="J100" s="142"/>
      <x:c r="K100" s="142"/>
      <x:c r="L100" s="208"/>
      <x:c r="M100" s="208"/>
      <x:c r="N100" s="142"/>
      <x:c r="O100" s="142"/>
      <x:c r="P100" s="142"/>
      <x:c r="Q100" s="208"/>
      <x:c r="R100" s="208"/>
      <x:c r="S100" s="202" t="str">
        <x:f>IF(A100="","",IF(COUNTIF(F100:J100,"Sim")=5,"PRONTO","PENDENTE"))</x:f>
      </x:c>
      <x:c r="T100" s="142"/>
    </x:row>
    <x:row r="101" ht="19" customHeight="1">
      <x:c r="A101" s="142"/>
      <x:c r="B101" s="142"/>
      <x:c r="C101" s="142"/>
      <x:c r="D101" s="142"/>
      <x:c r="E101" s="142"/>
      <x:c r="F101" s="142"/>
      <x:c r="G101" s="142"/>
      <x:c r="H101" s="142"/>
      <x:c r="I101" s="142"/>
      <x:c r="J101" s="142"/>
      <x:c r="K101" s="142"/>
      <x:c r="L101" s="208"/>
      <x:c r="M101" s="208"/>
      <x:c r="N101" s="142"/>
      <x:c r="O101" s="142"/>
      <x:c r="P101" s="142"/>
      <x:c r="Q101" s="208"/>
      <x:c r="R101" s="208"/>
      <x:c r="S101" s="202" t="str">
        <x:f>IF(A101="","",IF(COUNTIF(F101:J101,"Sim")=5,"PRONTO","PENDENTE"))</x:f>
      </x:c>
      <x:c r="T101" s="142"/>
    </x:row>
    <x:row r="102" ht="19" customHeight="1">
      <x:c r="A102" s="142"/>
      <x:c r="B102" s="142"/>
      <x:c r="C102" s="142"/>
      <x:c r="D102" s="142"/>
      <x:c r="E102" s="142"/>
      <x:c r="F102" s="142"/>
      <x:c r="G102" s="142"/>
      <x:c r="H102" s="142"/>
      <x:c r="I102" s="142"/>
      <x:c r="J102" s="142"/>
      <x:c r="K102" s="142"/>
      <x:c r="L102" s="208"/>
      <x:c r="M102" s="208"/>
      <x:c r="N102" s="142"/>
      <x:c r="O102" s="142"/>
      <x:c r="P102" s="142"/>
      <x:c r="Q102" s="208"/>
      <x:c r="R102" s="208"/>
      <x:c r="S102" s="202" t="str">
        <x:f>IF(A102="","",IF(COUNTIF(F102:J102,"Sim")=5,"PRONTO","PENDENTE"))</x:f>
      </x:c>
      <x:c r="T102" s="142"/>
    </x:row>
    <x:row r="103" ht="19" customHeight="1">
      <x:c r="A103" s="142"/>
      <x:c r="B103" s="142"/>
      <x:c r="C103" s="142"/>
      <x:c r="D103" s="142"/>
      <x:c r="E103" s="142"/>
      <x:c r="F103" s="142"/>
      <x:c r="G103" s="142"/>
      <x:c r="H103" s="142"/>
      <x:c r="I103" s="142"/>
      <x:c r="J103" s="142"/>
      <x:c r="K103" s="142"/>
      <x:c r="L103" s="208"/>
      <x:c r="M103" s="208"/>
      <x:c r="N103" s="142"/>
      <x:c r="O103" s="142"/>
      <x:c r="P103" s="142"/>
      <x:c r="Q103" s="208"/>
      <x:c r="R103" s="208"/>
      <x:c r="S103" s="202" t="str">
        <x:f>IF(A103="","",IF(COUNTIF(F103:J103,"Sim")=5,"PRONTO","PENDENTE"))</x:f>
      </x:c>
      <x:c r="T103" s="142"/>
    </x:row>
    <x:row r="104" ht="19" customHeight="1">
      <x:c r="A104" s="142"/>
      <x:c r="B104" s="142"/>
      <x:c r="C104" s="142"/>
      <x:c r="D104" s="142"/>
      <x:c r="E104" s="142"/>
      <x:c r="F104" s="142"/>
      <x:c r="G104" s="142"/>
      <x:c r="H104" s="142"/>
      <x:c r="I104" s="142"/>
      <x:c r="J104" s="142"/>
      <x:c r="K104" s="142"/>
      <x:c r="L104" s="208"/>
      <x:c r="M104" s="208"/>
      <x:c r="N104" s="142"/>
      <x:c r="O104" s="142"/>
      <x:c r="P104" s="142"/>
      <x:c r="Q104" s="208"/>
      <x:c r="R104" s="208"/>
      <x:c r="S104" s="202" t="str">
        <x:f>IF(A104="","",IF(COUNTIF(F104:J104,"Sim")=5,"PRONTO","PENDENTE"))</x:f>
      </x:c>
      <x:c r="T104" s="142"/>
    </x:row>
    <x:row r="105" ht="19" customHeight="1">
      <x:c r="A105" s="142"/>
      <x:c r="B105" s="142"/>
      <x:c r="C105" s="142"/>
      <x:c r="D105" s="142"/>
      <x:c r="E105" s="142"/>
      <x:c r="F105" s="142"/>
      <x:c r="G105" s="142"/>
      <x:c r="H105" s="142"/>
      <x:c r="I105" s="142"/>
      <x:c r="J105" s="142"/>
      <x:c r="K105" s="142"/>
      <x:c r="L105" s="208"/>
      <x:c r="M105" s="208"/>
      <x:c r="N105" s="142"/>
      <x:c r="O105" s="142"/>
      <x:c r="P105" s="142"/>
      <x:c r="Q105" s="208"/>
      <x:c r="R105" s="208"/>
      <x:c r="S105" s="202" t="str">
        <x:f>IF(A105="","",IF(COUNTIF(F105:J105,"Sim")=5,"PRONTO","PENDENTE"))</x:f>
      </x:c>
      <x:c r="T105" s="142"/>
    </x:row>
    <x:row r="106" ht="19" customHeight="1">
      <x:c r="A106" s="142"/>
      <x:c r="B106" s="142"/>
      <x:c r="C106" s="142"/>
      <x:c r="D106" s="142"/>
      <x:c r="E106" s="142"/>
      <x:c r="F106" s="142"/>
      <x:c r="G106" s="142"/>
      <x:c r="H106" s="142"/>
      <x:c r="I106" s="142"/>
      <x:c r="J106" s="142"/>
      <x:c r="K106" s="142"/>
      <x:c r="L106" s="208"/>
      <x:c r="M106" s="208"/>
      <x:c r="N106" s="142"/>
      <x:c r="O106" s="142"/>
      <x:c r="P106" s="142"/>
      <x:c r="Q106" s="208"/>
      <x:c r="R106" s="208"/>
      <x:c r="S106" s="202" t="str">
        <x:f>IF(A106="","",IF(COUNTIF(F106:J106,"Sim")=5,"PRONTO","PENDENTE"))</x:f>
      </x:c>
      <x:c r="T106" s="142"/>
    </x:row>
    <x:row r="107" ht="19" customHeight="1">
      <x:c r="A107" s="142"/>
      <x:c r="B107" s="142"/>
      <x:c r="C107" s="142"/>
      <x:c r="D107" s="142"/>
      <x:c r="E107" s="142"/>
      <x:c r="F107" s="142"/>
      <x:c r="G107" s="142"/>
      <x:c r="H107" s="142"/>
      <x:c r="I107" s="142"/>
      <x:c r="J107" s="142"/>
      <x:c r="K107" s="142"/>
      <x:c r="L107" s="208"/>
      <x:c r="M107" s="208"/>
      <x:c r="N107" s="142"/>
      <x:c r="O107" s="142"/>
      <x:c r="P107" s="142"/>
      <x:c r="Q107" s="208"/>
      <x:c r="R107" s="208"/>
      <x:c r="S107" s="202" t="str">
        <x:f>IF(A107="","",IF(COUNTIF(F107:J107,"Sim")=5,"PRONTO","PENDENTE"))</x:f>
      </x:c>
      <x:c r="T107" s="142"/>
    </x:row>
    <x:row r="108" ht="19" customHeight="1">
      <x:c r="A108" s="142"/>
      <x:c r="B108" s="142"/>
      <x:c r="C108" s="142"/>
      <x:c r="D108" s="142"/>
      <x:c r="E108" s="142"/>
      <x:c r="F108" s="142"/>
      <x:c r="G108" s="142"/>
      <x:c r="H108" s="142"/>
      <x:c r="I108" s="142"/>
      <x:c r="J108" s="142"/>
      <x:c r="K108" s="142"/>
      <x:c r="L108" s="208"/>
      <x:c r="M108" s="208"/>
      <x:c r="N108" s="142"/>
      <x:c r="O108" s="142"/>
      <x:c r="P108" s="142"/>
      <x:c r="Q108" s="208"/>
      <x:c r="R108" s="208"/>
      <x:c r="S108" s="202" t="str">
        <x:f>IF(A108="","",IF(COUNTIF(F108:J108,"Sim")=5,"PRONTO","PENDENTE"))</x:f>
      </x:c>
      <x:c r="T108" s="142"/>
    </x:row>
    <x:row r="109" ht="19" customHeight="1">
      <x:c r="A109" s="142"/>
      <x:c r="B109" s="142"/>
      <x:c r="C109" s="142"/>
      <x:c r="D109" s="142"/>
      <x:c r="E109" s="142"/>
      <x:c r="F109" s="142"/>
      <x:c r="G109" s="142"/>
      <x:c r="H109" s="142"/>
      <x:c r="I109" s="142"/>
      <x:c r="J109" s="142"/>
      <x:c r="K109" s="142"/>
      <x:c r="L109" s="208"/>
      <x:c r="M109" s="208"/>
      <x:c r="N109" s="142"/>
      <x:c r="O109" s="142"/>
      <x:c r="P109" s="142"/>
      <x:c r="Q109" s="208"/>
      <x:c r="R109" s="208"/>
      <x:c r="S109" s="202" t="str">
        <x:f>IF(A109="","",IF(COUNTIF(F109:J109,"Sim")=5,"PRONTO","PENDENTE"))</x:f>
      </x:c>
      <x:c r="T109" s="142"/>
    </x:row>
    <x:row r="110" ht="19" customHeight="1">
      <x:c r="A110" s="142"/>
      <x:c r="B110" s="142"/>
      <x:c r="C110" s="142"/>
      <x:c r="D110" s="142"/>
      <x:c r="E110" s="142"/>
      <x:c r="F110" s="142"/>
      <x:c r="G110" s="142"/>
      <x:c r="H110" s="142"/>
      <x:c r="I110" s="142"/>
      <x:c r="J110" s="142"/>
      <x:c r="K110" s="142"/>
      <x:c r="L110" s="208"/>
      <x:c r="M110" s="208"/>
      <x:c r="N110" s="142"/>
      <x:c r="O110" s="142"/>
      <x:c r="P110" s="142"/>
      <x:c r="Q110" s="208"/>
      <x:c r="R110" s="208"/>
      <x:c r="S110" s="202" t="str">
        <x:f>IF(A110="","",IF(COUNTIF(F110:J110,"Sim")=5,"PRONTO","PENDENTE"))</x:f>
      </x:c>
      <x:c r="T110" s="142"/>
    </x:row>
    <x:row r="111" ht="19" customHeight="1">
      <x:c r="A111" s="142"/>
      <x:c r="B111" s="142"/>
      <x:c r="C111" s="142"/>
      <x:c r="D111" s="142"/>
      <x:c r="E111" s="142"/>
      <x:c r="F111" s="142"/>
      <x:c r="G111" s="142"/>
      <x:c r="H111" s="142"/>
      <x:c r="I111" s="142"/>
      <x:c r="J111" s="142"/>
      <x:c r="K111" s="142"/>
      <x:c r="L111" s="208"/>
      <x:c r="M111" s="208"/>
      <x:c r="N111" s="142"/>
      <x:c r="O111" s="142"/>
      <x:c r="P111" s="142"/>
      <x:c r="Q111" s="208"/>
      <x:c r="R111" s="208"/>
      <x:c r="S111" s="202" t="str">
        <x:f>IF(A111="","",IF(COUNTIF(F111:J111,"Sim")=5,"PRONTO","PENDENTE"))</x:f>
      </x:c>
      <x:c r="T111" s="142"/>
    </x:row>
    <x:row r="112" ht="19" customHeight="1">
      <x:c r="A112" s="142"/>
      <x:c r="B112" s="142"/>
      <x:c r="C112" s="142"/>
      <x:c r="D112" s="142"/>
      <x:c r="E112" s="142"/>
      <x:c r="F112" s="142"/>
      <x:c r="G112" s="142"/>
      <x:c r="H112" s="142"/>
      <x:c r="I112" s="142"/>
      <x:c r="J112" s="142"/>
      <x:c r="K112" s="142"/>
      <x:c r="L112" s="208"/>
      <x:c r="M112" s="208"/>
      <x:c r="N112" s="142"/>
      <x:c r="O112" s="142"/>
      <x:c r="P112" s="142"/>
      <x:c r="Q112" s="208"/>
      <x:c r="R112" s="208"/>
      <x:c r="S112" s="202" t="str">
        <x:f>IF(A112="","",IF(COUNTIF(F112:J112,"Sim")=5,"PRONTO","PENDENTE"))</x:f>
      </x:c>
      <x:c r="T112" s="142"/>
    </x:row>
    <x:row r="113" ht="19" customHeight="1">
      <x:c r="A113" s="142"/>
      <x:c r="B113" s="142"/>
      <x:c r="C113" s="142"/>
      <x:c r="D113" s="142"/>
      <x:c r="E113" s="142"/>
      <x:c r="F113" s="142"/>
      <x:c r="G113" s="142"/>
      <x:c r="H113" s="142"/>
      <x:c r="I113" s="142"/>
      <x:c r="J113" s="142"/>
      <x:c r="K113" s="142"/>
      <x:c r="L113" s="208"/>
      <x:c r="M113" s="208"/>
      <x:c r="N113" s="142"/>
      <x:c r="O113" s="142"/>
      <x:c r="P113" s="142"/>
      <x:c r="Q113" s="208"/>
      <x:c r="R113" s="208"/>
      <x:c r="S113" s="202" t="str">
        <x:f>IF(A113="","",IF(COUNTIF(F113:J113,"Sim")=5,"PRONTO","PENDENTE"))</x:f>
      </x:c>
      <x:c r="T113" s="142"/>
    </x:row>
    <x:row r="114" ht="19" customHeight="1">
      <x:c r="A114" s="142"/>
      <x:c r="B114" s="142"/>
      <x:c r="C114" s="142"/>
      <x:c r="D114" s="142"/>
      <x:c r="E114" s="142"/>
      <x:c r="F114" s="142"/>
      <x:c r="G114" s="142"/>
      <x:c r="H114" s="142"/>
      <x:c r="I114" s="142"/>
      <x:c r="J114" s="142"/>
      <x:c r="K114" s="142"/>
      <x:c r="L114" s="208"/>
      <x:c r="M114" s="208"/>
      <x:c r="N114" s="142"/>
      <x:c r="O114" s="142"/>
      <x:c r="P114" s="142"/>
      <x:c r="Q114" s="208"/>
      <x:c r="R114" s="208"/>
      <x:c r="S114" s="202" t="str">
        <x:f>IF(A114="","",IF(COUNTIF(F114:J114,"Sim")=5,"PRONTO","PENDENTE"))</x:f>
      </x:c>
      <x:c r="T114" s="142"/>
    </x:row>
    <x:row r="115" ht="19" customHeight="1">
      <x:c r="A115" s="142"/>
      <x:c r="B115" s="142"/>
      <x:c r="C115" s="142"/>
      <x:c r="D115" s="142"/>
      <x:c r="E115" s="142"/>
      <x:c r="F115" s="142"/>
      <x:c r="G115" s="142"/>
      <x:c r="H115" s="142"/>
      <x:c r="I115" s="142"/>
      <x:c r="J115" s="142"/>
      <x:c r="K115" s="142"/>
      <x:c r="L115" s="208"/>
      <x:c r="M115" s="208"/>
      <x:c r="N115" s="142"/>
      <x:c r="O115" s="142"/>
      <x:c r="P115" s="142"/>
      <x:c r="Q115" s="208"/>
      <x:c r="R115" s="208"/>
      <x:c r="S115" s="202" t="str">
        <x:f>IF(A115="","",IF(COUNTIF(F115:J115,"Sim")=5,"PRONTO","PENDENTE"))</x:f>
      </x:c>
      <x:c r="T115" s="142"/>
    </x:row>
    <x:row r="116" ht="19" customHeight="1">
      <x:c r="A116" s="142"/>
      <x:c r="B116" s="142"/>
      <x:c r="C116" s="142"/>
      <x:c r="D116" s="142"/>
      <x:c r="E116" s="142"/>
      <x:c r="F116" s="142"/>
      <x:c r="G116" s="142"/>
      <x:c r="H116" s="142"/>
      <x:c r="I116" s="142"/>
      <x:c r="J116" s="142"/>
      <x:c r="K116" s="142"/>
      <x:c r="L116" s="208"/>
      <x:c r="M116" s="208"/>
      <x:c r="N116" s="142"/>
      <x:c r="O116" s="142"/>
      <x:c r="P116" s="142"/>
      <x:c r="Q116" s="208"/>
      <x:c r="R116" s="208"/>
      <x:c r="S116" s="202" t="str">
        <x:f>IF(A116="","",IF(COUNTIF(F116:J116,"Sim")=5,"PRONTO","PENDENTE"))</x:f>
      </x:c>
      <x:c r="T116" s="142"/>
    </x:row>
    <x:row r="117" ht="19" customHeight="1">
      <x:c r="A117" s="142"/>
      <x:c r="B117" s="142"/>
      <x:c r="C117" s="142"/>
      <x:c r="D117" s="142"/>
      <x:c r="E117" s="142"/>
      <x:c r="F117" s="142"/>
      <x:c r="G117" s="142"/>
      <x:c r="H117" s="142"/>
      <x:c r="I117" s="142"/>
      <x:c r="J117" s="142"/>
      <x:c r="K117" s="142"/>
      <x:c r="L117" s="208"/>
      <x:c r="M117" s="208"/>
      <x:c r="N117" s="142"/>
      <x:c r="O117" s="142"/>
      <x:c r="P117" s="142"/>
      <x:c r="Q117" s="208"/>
      <x:c r="R117" s="208"/>
      <x:c r="S117" s="202" t="str">
        <x:f>IF(A117="","",IF(COUNTIF(F117:J117,"Sim")=5,"PRONTO","PENDENTE"))</x:f>
      </x:c>
      <x:c r="T117" s="142"/>
    </x:row>
    <x:row r="118" ht="19" customHeight="1">
      <x:c r="A118" s="142"/>
      <x:c r="B118" s="142"/>
      <x:c r="C118" s="142"/>
      <x:c r="D118" s="142"/>
      <x:c r="E118" s="142"/>
      <x:c r="F118" s="142"/>
      <x:c r="G118" s="142"/>
      <x:c r="H118" s="142"/>
      <x:c r="I118" s="142"/>
      <x:c r="J118" s="142"/>
      <x:c r="K118" s="142"/>
      <x:c r="L118" s="208"/>
      <x:c r="M118" s="208"/>
      <x:c r="N118" s="142"/>
      <x:c r="O118" s="142"/>
      <x:c r="P118" s="142"/>
      <x:c r="Q118" s="208"/>
      <x:c r="R118" s="208"/>
      <x:c r="S118" s="202" t="str">
        <x:f>IF(A118="","",IF(COUNTIF(F118:J118,"Sim")=5,"PRONTO","PENDENTE"))</x:f>
      </x:c>
      <x:c r="T118" s="142"/>
    </x:row>
    <x:row r="119" ht="19" customHeight="1">
      <x:c r="A119" s="142"/>
      <x:c r="B119" s="142"/>
      <x:c r="C119" s="142"/>
      <x:c r="D119" s="142"/>
      <x:c r="E119" s="142"/>
      <x:c r="F119" s="142"/>
      <x:c r="G119" s="142"/>
      <x:c r="H119" s="142"/>
      <x:c r="I119" s="142"/>
      <x:c r="J119" s="142"/>
      <x:c r="K119" s="142"/>
      <x:c r="L119" s="208"/>
      <x:c r="M119" s="208"/>
      <x:c r="N119" s="142"/>
      <x:c r="O119" s="142"/>
      <x:c r="P119" s="142"/>
      <x:c r="Q119" s="208"/>
      <x:c r="R119" s="208"/>
      <x:c r="S119" s="202" t="str">
        <x:f>IF(A119="","",IF(COUNTIF(F119:J119,"Sim")=5,"PRONTO","PENDENTE"))</x:f>
      </x:c>
      <x:c r="T119" s="142"/>
    </x:row>
    <x:row r="120" ht="19" customHeight="1">
      <x:c r="A120" s="142"/>
      <x:c r="B120" s="142"/>
      <x:c r="C120" s="142"/>
      <x:c r="D120" s="142"/>
      <x:c r="E120" s="142"/>
      <x:c r="F120" s="142"/>
      <x:c r="G120" s="142"/>
      <x:c r="H120" s="142"/>
      <x:c r="I120" s="142"/>
      <x:c r="J120" s="142"/>
      <x:c r="K120" s="142"/>
      <x:c r="L120" s="208"/>
      <x:c r="M120" s="208"/>
      <x:c r="N120" s="142"/>
      <x:c r="O120" s="142"/>
      <x:c r="P120" s="142"/>
      <x:c r="Q120" s="208"/>
      <x:c r="R120" s="208"/>
      <x:c r="S120" s="202" t="str">
        <x:f>IF(A120="","",IF(COUNTIF(F120:J120,"Sim")=5,"PRONTO","PENDENTE"))</x:f>
      </x:c>
      <x:c r="T120" s="142"/>
    </x:row>
    <x:row r="121" ht="19" customHeight="1">
      <x:c r="A121" s="142"/>
      <x:c r="B121" s="142"/>
      <x:c r="C121" s="142"/>
      <x:c r="D121" s="142"/>
      <x:c r="E121" s="142"/>
      <x:c r="F121" s="142"/>
      <x:c r="G121" s="142"/>
      <x:c r="H121" s="142"/>
      <x:c r="I121" s="142"/>
      <x:c r="J121" s="142"/>
      <x:c r="K121" s="142"/>
      <x:c r="L121" s="208"/>
      <x:c r="M121" s="208"/>
      <x:c r="N121" s="142"/>
      <x:c r="O121" s="142"/>
      <x:c r="P121" s="142"/>
      <x:c r="Q121" s="208"/>
      <x:c r="R121" s="208"/>
      <x:c r="S121" s="202" t="str">
        <x:f>IF(A121="","",IF(COUNTIF(F121:J121,"Sim")=5,"PRONTO","PENDENTE"))</x:f>
      </x:c>
      <x:c r="T121" s="142"/>
    </x:row>
    <x:row r="122" ht="19" customHeight="1">
      <x:c r="A122" s="142"/>
      <x:c r="B122" s="142"/>
      <x:c r="C122" s="142"/>
      <x:c r="D122" s="142"/>
      <x:c r="E122" s="142"/>
      <x:c r="F122" s="142"/>
      <x:c r="G122" s="142"/>
      <x:c r="H122" s="142"/>
      <x:c r="I122" s="142"/>
      <x:c r="J122" s="142"/>
      <x:c r="K122" s="142"/>
      <x:c r="L122" s="208"/>
      <x:c r="M122" s="208"/>
      <x:c r="N122" s="142"/>
      <x:c r="O122" s="142"/>
      <x:c r="P122" s="142"/>
      <x:c r="Q122" s="208"/>
      <x:c r="R122" s="208"/>
      <x:c r="S122" s="202" t="str">
        <x:f>IF(A122="","",IF(COUNTIF(F122:J122,"Sim")=5,"PRONTO","PENDENTE"))</x:f>
      </x:c>
      <x:c r="T122" s="142"/>
    </x:row>
    <x:row r="123" ht="19" customHeight="1">
      <x:c r="A123" s="142"/>
      <x:c r="B123" s="142"/>
      <x:c r="C123" s="142"/>
      <x:c r="D123" s="142"/>
      <x:c r="E123" s="142"/>
      <x:c r="F123" s="142"/>
      <x:c r="G123" s="142"/>
      <x:c r="H123" s="142"/>
      <x:c r="I123" s="142"/>
      <x:c r="J123" s="142"/>
      <x:c r="K123" s="142"/>
      <x:c r="L123" s="208"/>
      <x:c r="M123" s="208"/>
      <x:c r="N123" s="142"/>
      <x:c r="O123" s="142"/>
      <x:c r="P123" s="142"/>
      <x:c r="Q123" s="208"/>
      <x:c r="R123" s="208"/>
      <x:c r="S123" s="202" t="str">
        <x:f>IF(A123="","",IF(COUNTIF(F123:J123,"Sim")=5,"PRONTO","PENDENTE"))</x:f>
      </x:c>
      <x:c r="T123" s="142"/>
    </x:row>
    <x:row r="124" ht="19" customHeight="1">
      <x:c r="A124" s="142"/>
      <x:c r="B124" s="142"/>
      <x:c r="C124" s="142"/>
      <x:c r="D124" s="142"/>
      <x:c r="E124" s="142"/>
      <x:c r="F124" s="142"/>
      <x:c r="G124" s="142"/>
      <x:c r="H124" s="142"/>
      <x:c r="I124" s="142"/>
      <x:c r="J124" s="142"/>
      <x:c r="K124" s="142"/>
      <x:c r="L124" s="208"/>
      <x:c r="M124" s="208"/>
      <x:c r="N124" s="142"/>
      <x:c r="O124" s="142"/>
      <x:c r="P124" s="142"/>
      <x:c r="Q124" s="208"/>
      <x:c r="R124" s="208"/>
      <x:c r="S124" s="202" t="str">
        <x:f>IF(A124="","",IF(COUNTIF(F124:J124,"Sim")=5,"PRONTO","PENDENTE"))</x:f>
      </x:c>
      <x:c r="T124" s="142"/>
    </x:row>
    <x:row r="125" ht="19" customHeight="1">
      <x:c r="A125" s="142"/>
      <x:c r="B125" s="142"/>
      <x:c r="C125" s="142"/>
      <x:c r="D125" s="142"/>
      <x:c r="E125" s="142"/>
      <x:c r="F125" s="142"/>
      <x:c r="G125" s="142"/>
      <x:c r="H125" s="142"/>
      <x:c r="I125" s="142"/>
      <x:c r="J125" s="142"/>
      <x:c r="K125" s="142"/>
      <x:c r="L125" s="208"/>
      <x:c r="M125" s="208"/>
      <x:c r="N125" s="142"/>
      <x:c r="O125" s="142"/>
      <x:c r="P125" s="142"/>
      <x:c r="Q125" s="208"/>
      <x:c r="R125" s="208"/>
      <x:c r="S125" s="202" t="str">
        <x:f>IF(A125="","",IF(COUNTIF(F125:J125,"Sim")=5,"PRONTO","PENDENTE"))</x:f>
      </x:c>
      <x:c r="T125" s="142"/>
    </x:row>
    <x:row r="126" ht="19" customHeight="1">
      <x:c r="A126" s="142"/>
      <x:c r="B126" s="142"/>
      <x:c r="C126" s="142"/>
      <x:c r="D126" s="142"/>
      <x:c r="E126" s="142"/>
      <x:c r="F126" s="142"/>
      <x:c r="G126" s="142"/>
      <x:c r="H126" s="142"/>
      <x:c r="I126" s="142"/>
      <x:c r="J126" s="142"/>
      <x:c r="K126" s="142"/>
      <x:c r="L126" s="208"/>
      <x:c r="M126" s="208"/>
      <x:c r="N126" s="142"/>
      <x:c r="O126" s="142"/>
      <x:c r="P126" s="142"/>
      <x:c r="Q126" s="208"/>
      <x:c r="R126" s="208"/>
      <x:c r="S126" s="202" t="str">
        <x:f>IF(A126="","",IF(COUNTIF(F126:J126,"Sim")=5,"PRONTO","PENDENTE"))</x:f>
      </x:c>
      <x:c r="T126" s="142"/>
    </x:row>
    <x:row r="127" ht="19" customHeight="1">
      <x:c r="A127" s="142"/>
      <x:c r="B127" s="142"/>
      <x:c r="C127" s="142"/>
      <x:c r="D127" s="142"/>
      <x:c r="E127" s="142"/>
      <x:c r="F127" s="142"/>
      <x:c r="G127" s="142"/>
      <x:c r="H127" s="142"/>
      <x:c r="I127" s="142"/>
      <x:c r="J127" s="142"/>
      <x:c r="K127" s="142"/>
      <x:c r="L127" s="208"/>
      <x:c r="M127" s="208"/>
      <x:c r="N127" s="142"/>
      <x:c r="O127" s="142"/>
      <x:c r="P127" s="142"/>
      <x:c r="Q127" s="208"/>
      <x:c r="R127" s="208"/>
      <x:c r="S127" s="202" t="str">
        <x:f>IF(A127="","",IF(COUNTIF(F127:J127,"Sim")=5,"PRONTO","PENDENTE"))</x:f>
      </x:c>
      <x:c r="T127" s="142"/>
    </x:row>
    <x:row r="128" ht="19" customHeight="1">
      <x:c r="A128" s="142"/>
      <x:c r="B128" s="142"/>
      <x:c r="C128" s="142"/>
      <x:c r="D128" s="142"/>
      <x:c r="E128" s="142"/>
      <x:c r="F128" s="142"/>
      <x:c r="G128" s="142"/>
      <x:c r="H128" s="142"/>
      <x:c r="I128" s="142"/>
      <x:c r="J128" s="142"/>
      <x:c r="K128" s="142"/>
      <x:c r="L128" s="208"/>
      <x:c r="M128" s="208"/>
      <x:c r="N128" s="142"/>
      <x:c r="O128" s="142"/>
      <x:c r="P128" s="142"/>
      <x:c r="Q128" s="208"/>
      <x:c r="R128" s="208"/>
      <x:c r="S128" s="202" t="str">
        <x:f>IF(A128="","",IF(COUNTIF(F128:J128,"Sim")=5,"PRONTO","PENDENTE"))</x:f>
      </x:c>
      <x:c r="T128" s="142"/>
    </x:row>
    <x:row r="129" ht="19" customHeight="1">
      <x:c r="A129" s="142"/>
      <x:c r="B129" s="142"/>
      <x:c r="C129" s="142"/>
      <x:c r="D129" s="142"/>
      <x:c r="E129" s="142"/>
      <x:c r="F129" s="142"/>
      <x:c r="G129" s="142"/>
      <x:c r="H129" s="142"/>
      <x:c r="I129" s="142"/>
      <x:c r="J129" s="142"/>
      <x:c r="K129" s="142"/>
      <x:c r="L129" s="208"/>
      <x:c r="M129" s="208"/>
      <x:c r="N129" s="142"/>
      <x:c r="O129" s="142"/>
      <x:c r="P129" s="142"/>
      <x:c r="Q129" s="208"/>
      <x:c r="R129" s="208"/>
      <x:c r="S129" s="202" t="str">
        <x:f>IF(A129="","",IF(COUNTIF(F129:J129,"Sim")=5,"PRONTO","PENDENTE"))</x:f>
      </x:c>
      <x:c r="T129" s="142"/>
    </x:row>
    <x:row r="130" ht="19" customHeight="1">
      <x:c r="A130" s="142"/>
      <x:c r="B130" s="142"/>
      <x:c r="C130" s="142"/>
      <x:c r="D130" s="142"/>
      <x:c r="E130" s="142"/>
      <x:c r="F130" s="142"/>
      <x:c r="G130" s="142"/>
      <x:c r="H130" s="142"/>
      <x:c r="I130" s="142"/>
      <x:c r="J130" s="142"/>
      <x:c r="K130" s="142"/>
      <x:c r="L130" s="208"/>
      <x:c r="M130" s="208"/>
      <x:c r="N130" s="142"/>
      <x:c r="O130" s="142"/>
      <x:c r="P130" s="142"/>
      <x:c r="Q130" s="208"/>
      <x:c r="R130" s="208"/>
      <x:c r="S130" s="202" t="str">
        <x:f>IF(A130="","",IF(COUNTIF(F130:J130,"Sim")=5,"PRONTO","PENDENTE"))</x:f>
      </x:c>
      <x:c r="T130" s="142"/>
    </x:row>
    <x:row r="131" ht="19" customHeight="1">
      <x:c r="A131" s="142"/>
      <x:c r="B131" s="142"/>
      <x:c r="C131" s="142"/>
      <x:c r="D131" s="142"/>
      <x:c r="E131" s="142"/>
      <x:c r="F131" s="142"/>
      <x:c r="G131" s="142"/>
      <x:c r="H131" s="142"/>
      <x:c r="I131" s="142"/>
      <x:c r="J131" s="142"/>
      <x:c r="K131" s="142"/>
      <x:c r="L131" s="208"/>
      <x:c r="M131" s="208"/>
      <x:c r="N131" s="142"/>
      <x:c r="O131" s="142"/>
      <x:c r="P131" s="142"/>
      <x:c r="Q131" s="208"/>
      <x:c r="R131" s="208"/>
      <x:c r="S131" s="202" t="str">
        <x:f>IF(A131="","",IF(COUNTIF(F131:J131,"Sim")=5,"PRONTO","PENDENTE"))</x:f>
      </x:c>
      <x:c r="T131" s="142"/>
    </x:row>
    <x:row r="132" ht="19" customHeight="1">
      <x:c r="A132" s="142"/>
      <x:c r="B132" s="142"/>
      <x:c r="C132" s="142"/>
      <x:c r="D132" s="142"/>
      <x:c r="E132" s="142"/>
      <x:c r="F132" s="142"/>
      <x:c r="G132" s="142"/>
      <x:c r="H132" s="142"/>
      <x:c r="I132" s="142"/>
      <x:c r="J132" s="142"/>
      <x:c r="K132" s="142"/>
      <x:c r="L132" s="208"/>
      <x:c r="M132" s="208"/>
      <x:c r="N132" s="142"/>
      <x:c r="O132" s="142"/>
      <x:c r="P132" s="142"/>
      <x:c r="Q132" s="208"/>
      <x:c r="R132" s="208"/>
      <x:c r="S132" s="202" t="str">
        <x:f>IF(A132="","",IF(COUNTIF(F132:J132,"Sim")=5,"PRONTO","PENDENTE"))</x:f>
      </x:c>
      <x:c r="T132" s="142"/>
    </x:row>
    <x:row r="133" ht="19" customHeight="1">
      <x:c r="A133" s="142"/>
      <x:c r="B133" s="142"/>
      <x:c r="C133" s="142"/>
      <x:c r="D133" s="142"/>
      <x:c r="E133" s="142"/>
      <x:c r="F133" s="142"/>
      <x:c r="G133" s="142"/>
      <x:c r="H133" s="142"/>
      <x:c r="I133" s="142"/>
      <x:c r="J133" s="142"/>
      <x:c r="K133" s="142"/>
      <x:c r="L133" s="208"/>
      <x:c r="M133" s="208"/>
      <x:c r="N133" s="142"/>
      <x:c r="O133" s="142"/>
      <x:c r="P133" s="142"/>
      <x:c r="Q133" s="208"/>
      <x:c r="R133" s="208"/>
      <x:c r="S133" s="202" t="str">
        <x:f>IF(A133="","",IF(COUNTIF(F133:J133,"Sim")=5,"PRONTO","PENDENTE"))</x:f>
      </x:c>
      <x:c r="T133" s="142"/>
    </x:row>
    <x:row r="134" ht="19" customHeight="1">
      <x:c r="A134" s="142"/>
      <x:c r="B134" s="142"/>
      <x:c r="C134" s="142"/>
      <x:c r="D134" s="142"/>
      <x:c r="E134" s="142"/>
      <x:c r="F134" s="142"/>
      <x:c r="G134" s="142"/>
      <x:c r="H134" s="142"/>
      <x:c r="I134" s="142"/>
      <x:c r="J134" s="142"/>
      <x:c r="K134" s="142"/>
      <x:c r="L134" s="208"/>
      <x:c r="M134" s="208"/>
      <x:c r="N134" s="142"/>
      <x:c r="O134" s="142"/>
      <x:c r="P134" s="142"/>
      <x:c r="Q134" s="208"/>
      <x:c r="R134" s="208"/>
      <x:c r="S134" s="202" t="str">
        <x:f>IF(A134="","",IF(COUNTIF(F134:J134,"Sim")=5,"PRONTO","PENDENTE"))</x:f>
      </x:c>
      <x:c r="T134" s="142"/>
    </x:row>
    <x:row r="135" ht="19" customHeight="1">
      <x:c r="A135" s="142"/>
      <x:c r="B135" s="142"/>
      <x:c r="C135" s="142"/>
      <x:c r="D135" s="142"/>
      <x:c r="E135" s="142"/>
      <x:c r="F135" s="142"/>
      <x:c r="G135" s="142"/>
      <x:c r="H135" s="142"/>
      <x:c r="I135" s="142"/>
      <x:c r="J135" s="142"/>
      <x:c r="K135" s="142"/>
      <x:c r="L135" s="208"/>
      <x:c r="M135" s="208"/>
      <x:c r="N135" s="142"/>
      <x:c r="O135" s="142"/>
      <x:c r="P135" s="142"/>
      <x:c r="Q135" s="208"/>
      <x:c r="R135" s="208"/>
      <x:c r="S135" s="202" t="str">
        <x:f>IF(A135="","",IF(COUNTIF(F135:J135,"Sim")=5,"PRONTO","PENDENTE"))</x:f>
      </x:c>
      <x:c r="T135" s="142"/>
    </x:row>
    <x:row r="136" ht="19" customHeight="1">
      <x:c r="A136" s="142"/>
      <x:c r="B136" s="142"/>
      <x:c r="C136" s="142"/>
      <x:c r="D136" s="142"/>
      <x:c r="E136" s="142"/>
      <x:c r="F136" s="142"/>
      <x:c r="G136" s="142"/>
      <x:c r="H136" s="142"/>
      <x:c r="I136" s="142"/>
      <x:c r="J136" s="142"/>
      <x:c r="K136" s="142"/>
      <x:c r="L136" s="208"/>
      <x:c r="M136" s="208"/>
      <x:c r="N136" s="142"/>
      <x:c r="O136" s="142"/>
      <x:c r="P136" s="142"/>
      <x:c r="Q136" s="208"/>
      <x:c r="R136" s="208"/>
      <x:c r="S136" s="202" t="str">
        <x:f>IF(A136="","",IF(COUNTIF(F136:J136,"Sim")=5,"PRONTO","PENDENTE"))</x:f>
      </x:c>
      <x:c r="T136" s="142"/>
    </x:row>
    <x:row r="137" ht="19" customHeight="1">
      <x:c r="A137" s="142"/>
      <x:c r="B137" s="142"/>
      <x:c r="C137" s="142"/>
      <x:c r="D137" s="142"/>
      <x:c r="E137" s="142"/>
      <x:c r="F137" s="142"/>
      <x:c r="G137" s="142"/>
      <x:c r="H137" s="142"/>
      <x:c r="I137" s="142"/>
      <x:c r="J137" s="142"/>
      <x:c r="K137" s="142"/>
      <x:c r="L137" s="208"/>
      <x:c r="M137" s="208"/>
      <x:c r="N137" s="142"/>
      <x:c r="O137" s="142"/>
      <x:c r="P137" s="142"/>
      <x:c r="Q137" s="208"/>
      <x:c r="R137" s="208"/>
      <x:c r="S137" s="202" t="str">
        <x:f>IF(A137="","",IF(COUNTIF(F137:J137,"Sim")=5,"PRONTO","PENDENTE"))</x:f>
      </x:c>
      <x:c r="T137" s="142"/>
    </x:row>
    <x:row r="138" ht="19" customHeight="1">
      <x:c r="A138" s="142"/>
      <x:c r="B138" s="142"/>
      <x:c r="C138" s="142"/>
      <x:c r="D138" s="142"/>
      <x:c r="E138" s="142"/>
      <x:c r="F138" s="142"/>
      <x:c r="G138" s="142"/>
      <x:c r="H138" s="142"/>
      <x:c r="I138" s="142"/>
      <x:c r="J138" s="142"/>
      <x:c r="K138" s="142"/>
      <x:c r="L138" s="208"/>
      <x:c r="M138" s="208"/>
      <x:c r="N138" s="142"/>
      <x:c r="O138" s="142"/>
      <x:c r="P138" s="142"/>
      <x:c r="Q138" s="208"/>
      <x:c r="R138" s="208"/>
      <x:c r="S138" s="202" t="str">
        <x:f>IF(A138="","",IF(COUNTIF(F138:J138,"Sim")=5,"PRONTO","PENDENTE"))</x:f>
      </x:c>
      <x:c r="T138" s="142"/>
    </x:row>
    <x:row r="139" ht="19" customHeight="1">
      <x:c r="A139" s="142"/>
      <x:c r="B139" s="142"/>
      <x:c r="C139" s="142"/>
      <x:c r="D139" s="142"/>
      <x:c r="E139" s="142"/>
      <x:c r="F139" s="142"/>
      <x:c r="G139" s="142"/>
      <x:c r="H139" s="142"/>
      <x:c r="I139" s="142"/>
      <x:c r="J139" s="142"/>
      <x:c r="K139" s="142"/>
      <x:c r="L139" s="208"/>
      <x:c r="M139" s="208"/>
      <x:c r="N139" s="142"/>
      <x:c r="O139" s="142"/>
      <x:c r="P139" s="142"/>
      <x:c r="Q139" s="208"/>
      <x:c r="R139" s="208"/>
      <x:c r="S139" s="202" t="str">
        <x:f>IF(A139="","",IF(COUNTIF(F139:J139,"Sim")=5,"PRONTO","PENDENTE"))</x:f>
      </x:c>
      <x:c r="T139" s="142"/>
    </x:row>
    <x:row r="140" ht="19" customHeight="1">
      <x:c r="A140" s="142"/>
      <x:c r="B140" s="142"/>
      <x:c r="C140" s="142"/>
      <x:c r="D140" s="142"/>
      <x:c r="E140" s="142"/>
      <x:c r="F140" s="142"/>
      <x:c r="G140" s="142"/>
      <x:c r="H140" s="142"/>
      <x:c r="I140" s="142"/>
      <x:c r="J140" s="142"/>
      <x:c r="K140" s="142"/>
      <x:c r="L140" s="208"/>
      <x:c r="M140" s="208"/>
      <x:c r="N140" s="142"/>
      <x:c r="O140" s="142"/>
      <x:c r="P140" s="142"/>
      <x:c r="Q140" s="208"/>
      <x:c r="R140" s="208"/>
      <x:c r="S140" s="202" t="str">
        <x:f>IF(A140="","",IF(COUNTIF(F140:J140,"Sim")=5,"PRONTO","PENDENTE"))</x:f>
      </x:c>
      <x:c r="T140" s="142"/>
    </x:row>
    <x:row r="141" ht="19" customHeight="1">
      <x:c r="A141" s="142"/>
      <x:c r="B141" s="142"/>
      <x:c r="C141" s="142"/>
      <x:c r="D141" s="142"/>
      <x:c r="E141" s="142"/>
      <x:c r="F141" s="142"/>
      <x:c r="G141" s="142"/>
      <x:c r="H141" s="142"/>
      <x:c r="I141" s="142"/>
      <x:c r="J141" s="142"/>
      <x:c r="K141" s="142"/>
      <x:c r="L141" s="208"/>
      <x:c r="M141" s="208"/>
      <x:c r="N141" s="142"/>
      <x:c r="O141" s="142"/>
      <x:c r="P141" s="142"/>
      <x:c r="Q141" s="208"/>
      <x:c r="R141" s="208"/>
      <x:c r="S141" s="202" t="str">
        <x:f>IF(A141="","",IF(COUNTIF(F141:J141,"Sim")=5,"PRONTO","PENDENTE"))</x:f>
      </x:c>
      <x:c r="T141" s="142"/>
    </x:row>
    <x:row r="142" ht="19" customHeight="1">
      <x:c r="A142" s="142"/>
      <x:c r="B142" s="142"/>
      <x:c r="C142" s="142"/>
      <x:c r="D142" s="142"/>
      <x:c r="E142" s="142"/>
      <x:c r="F142" s="142"/>
      <x:c r="G142" s="142"/>
      <x:c r="H142" s="142"/>
      <x:c r="I142" s="142"/>
      <x:c r="J142" s="142"/>
      <x:c r="K142" s="142"/>
      <x:c r="L142" s="208"/>
      <x:c r="M142" s="208"/>
      <x:c r="N142" s="142"/>
      <x:c r="O142" s="142"/>
      <x:c r="P142" s="142"/>
      <x:c r="Q142" s="208"/>
      <x:c r="R142" s="208"/>
      <x:c r="S142" s="202" t="str">
        <x:f>IF(A142="","",IF(COUNTIF(F142:J142,"Sim")=5,"PRONTO","PENDENTE"))</x:f>
      </x:c>
      <x:c r="T142" s="142"/>
    </x:row>
    <x:row r="143" ht="19" customHeight="1">
      <x:c r="A143" s="142"/>
      <x:c r="B143" s="142"/>
      <x:c r="C143" s="142"/>
      <x:c r="D143" s="142"/>
      <x:c r="E143" s="142"/>
      <x:c r="F143" s="142"/>
      <x:c r="G143" s="142"/>
      <x:c r="H143" s="142"/>
      <x:c r="I143" s="142"/>
      <x:c r="J143" s="142"/>
      <x:c r="K143" s="142"/>
      <x:c r="L143" s="208"/>
      <x:c r="M143" s="208"/>
      <x:c r="N143" s="142"/>
      <x:c r="O143" s="142"/>
      <x:c r="P143" s="142"/>
      <x:c r="Q143" s="208"/>
      <x:c r="R143" s="208"/>
      <x:c r="S143" s="202" t="str">
        <x:f>IF(A143="","",IF(COUNTIF(F143:J143,"Sim")=5,"PRONTO","PENDENTE"))</x:f>
      </x:c>
      <x:c r="T143" s="142"/>
    </x:row>
    <x:row r="144" ht="19" customHeight="1">
      <x:c r="A144" s="142"/>
      <x:c r="B144" s="142"/>
      <x:c r="C144" s="142"/>
      <x:c r="D144" s="142"/>
      <x:c r="E144" s="142"/>
      <x:c r="F144" s="142"/>
      <x:c r="G144" s="142"/>
      <x:c r="H144" s="142"/>
      <x:c r="I144" s="142"/>
      <x:c r="J144" s="142"/>
      <x:c r="K144" s="142"/>
      <x:c r="L144" s="208"/>
      <x:c r="M144" s="208"/>
      <x:c r="N144" s="142"/>
      <x:c r="O144" s="142"/>
      <x:c r="P144" s="142"/>
      <x:c r="Q144" s="208"/>
      <x:c r="R144" s="208"/>
      <x:c r="S144" s="202" t="str">
        <x:f>IF(A144="","",IF(COUNTIF(F144:J144,"Sim")=5,"PRONTO","PENDENTE"))</x:f>
      </x:c>
      <x:c r="T144" s="142"/>
    </x:row>
    <x:row r="145" ht="19" customHeight="1">
      <x:c r="A145" s="142"/>
      <x:c r="B145" s="142"/>
      <x:c r="C145" s="142"/>
      <x:c r="D145" s="142"/>
      <x:c r="E145" s="142"/>
      <x:c r="F145" s="142"/>
      <x:c r="G145" s="142"/>
      <x:c r="H145" s="142"/>
      <x:c r="I145" s="142"/>
      <x:c r="J145" s="142"/>
      <x:c r="K145" s="142"/>
      <x:c r="L145" s="208"/>
      <x:c r="M145" s="208"/>
      <x:c r="N145" s="142"/>
      <x:c r="O145" s="142"/>
      <x:c r="P145" s="142"/>
      <x:c r="Q145" s="208"/>
      <x:c r="R145" s="208"/>
      <x:c r="S145" s="202" t="str">
        <x:f>IF(A145="","",IF(COUNTIF(F145:J145,"Sim")=5,"PRONTO","PENDENTE"))</x:f>
      </x:c>
      <x:c r="T145" s="142"/>
    </x:row>
    <x:row r="146" ht="19" customHeight="1">
      <x:c r="A146" s="142"/>
      <x:c r="B146" s="142"/>
      <x:c r="C146" s="142"/>
      <x:c r="D146" s="142"/>
      <x:c r="E146" s="142"/>
      <x:c r="F146" s="142"/>
      <x:c r="G146" s="142"/>
      <x:c r="H146" s="142"/>
      <x:c r="I146" s="142"/>
      <x:c r="J146" s="142"/>
      <x:c r="K146" s="142"/>
      <x:c r="L146" s="208"/>
      <x:c r="M146" s="208"/>
      <x:c r="N146" s="142"/>
      <x:c r="O146" s="142"/>
      <x:c r="P146" s="142"/>
      <x:c r="Q146" s="208"/>
      <x:c r="R146" s="208"/>
      <x:c r="S146" s="202" t="str">
        <x:f>IF(A146="","",IF(COUNTIF(F146:J146,"Sim")=5,"PRONTO","PENDENTE"))</x:f>
      </x:c>
      <x:c r="T146" s="142"/>
    </x:row>
    <x:row r="147" ht="19" customHeight="1">
      <x:c r="A147" s="142"/>
      <x:c r="B147" s="142"/>
      <x:c r="C147" s="142"/>
      <x:c r="D147" s="142"/>
      <x:c r="E147" s="142"/>
      <x:c r="F147" s="142"/>
      <x:c r="G147" s="142"/>
      <x:c r="H147" s="142"/>
      <x:c r="I147" s="142"/>
      <x:c r="J147" s="142"/>
      <x:c r="K147" s="142"/>
      <x:c r="L147" s="208"/>
      <x:c r="M147" s="208"/>
      <x:c r="N147" s="142"/>
      <x:c r="O147" s="142"/>
      <x:c r="P147" s="142"/>
      <x:c r="Q147" s="208"/>
      <x:c r="R147" s="208"/>
      <x:c r="S147" s="202" t="str">
        <x:f>IF(A147="","",IF(COUNTIF(F147:J147,"Sim")=5,"PRONTO","PENDENTE"))</x:f>
      </x:c>
      <x:c r="T147" s="142"/>
    </x:row>
    <x:row r="148" ht="19" customHeight="1">
      <x:c r="A148" s="142"/>
      <x:c r="B148" s="142"/>
      <x:c r="C148" s="142"/>
      <x:c r="D148" s="142"/>
      <x:c r="E148" s="142"/>
      <x:c r="F148" s="142"/>
      <x:c r="G148" s="142"/>
      <x:c r="H148" s="142"/>
      <x:c r="I148" s="142"/>
      <x:c r="J148" s="142"/>
      <x:c r="K148" s="142"/>
      <x:c r="L148" s="208"/>
      <x:c r="M148" s="208"/>
      <x:c r="N148" s="142"/>
      <x:c r="O148" s="142"/>
      <x:c r="P148" s="142"/>
      <x:c r="Q148" s="208"/>
      <x:c r="R148" s="208"/>
      <x:c r="S148" s="202" t="str">
        <x:f>IF(A148="","",IF(COUNTIF(F148:J148,"Sim")=5,"PRONTO","PENDENTE"))</x:f>
      </x:c>
      <x:c r="T148" s="142"/>
    </x:row>
    <x:row r="149" ht="19" customHeight="1">
      <x:c r="A149" s="142"/>
      <x:c r="B149" s="142"/>
      <x:c r="C149" s="142"/>
      <x:c r="D149" s="142"/>
      <x:c r="E149" s="142"/>
      <x:c r="F149" s="142"/>
      <x:c r="G149" s="142"/>
      <x:c r="H149" s="142"/>
      <x:c r="I149" s="142"/>
      <x:c r="J149" s="142"/>
      <x:c r="K149" s="142"/>
      <x:c r="L149" s="208"/>
      <x:c r="M149" s="208"/>
      <x:c r="N149" s="142"/>
      <x:c r="O149" s="142"/>
      <x:c r="P149" s="142"/>
      <x:c r="Q149" s="208"/>
      <x:c r="R149" s="208"/>
      <x:c r="S149" s="202" t="str">
        <x:f>IF(A149="","",IF(COUNTIF(F149:J149,"Sim")=5,"PRONTO","PENDENTE"))</x:f>
      </x:c>
      <x:c r="T149" s="142"/>
    </x:row>
    <x:row r="150" ht="19" customHeight="1">
      <x:c r="A150" s="142"/>
      <x:c r="B150" s="142"/>
      <x:c r="C150" s="142"/>
      <x:c r="D150" s="142"/>
      <x:c r="E150" s="142"/>
      <x:c r="F150" s="142"/>
      <x:c r="G150" s="142"/>
      <x:c r="H150" s="142"/>
      <x:c r="I150" s="142"/>
      <x:c r="J150" s="142"/>
      <x:c r="K150" s="142"/>
      <x:c r="L150" s="208"/>
      <x:c r="M150" s="208"/>
      <x:c r="N150" s="142"/>
      <x:c r="O150" s="142"/>
      <x:c r="P150" s="142"/>
      <x:c r="Q150" s="208"/>
      <x:c r="R150" s="208"/>
      <x:c r="S150" s="202" t="str">
        <x:f>IF(A150="","",IF(COUNTIF(F150:J150,"Sim")=5,"PRONTO","PENDENTE"))</x:f>
      </x:c>
      <x:c r="T150" s="142"/>
    </x:row>
    <x:row r="151" ht="19" customHeight="1">
      <x:c r="A151" s="142"/>
      <x:c r="B151" s="142"/>
      <x:c r="C151" s="142"/>
      <x:c r="D151" s="142"/>
      <x:c r="E151" s="142"/>
      <x:c r="F151" s="142"/>
      <x:c r="G151" s="142"/>
      <x:c r="H151" s="142"/>
      <x:c r="I151" s="142"/>
      <x:c r="J151" s="142"/>
      <x:c r="K151" s="142"/>
      <x:c r="L151" s="208"/>
      <x:c r="M151" s="208"/>
      <x:c r="N151" s="142"/>
      <x:c r="O151" s="142"/>
      <x:c r="P151" s="142"/>
      <x:c r="Q151" s="208"/>
      <x:c r="R151" s="208"/>
      <x:c r="S151" s="202" t="str">
        <x:f>IF(A151="","",IF(COUNTIF(F151:J151,"Sim")=5,"PRONTO","PENDENTE"))</x:f>
      </x:c>
      <x:c r="T151" s="142"/>
    </x:row>
    <x:row r="152" ht="19" customHeight="1">
      <x:c r="A152" s="142"/>
      <x:c r="B152" s="142"/>
      <x:c r="C152" s="142"/>
      <x:c r="D152" s="142"/>
      <x:c r="E152" s="142"/>
      <x:c r="F152" s="142"/>
      <x:c r="G152" s="142"/>
      <x:c r="H152" s="142"/>
      <x:c r="I152" s="142"/>
      <x:c r="J152" s="142"/>
      <x:c r="K152" s="142"/>
      <x:c r="L152" s="208"/>
      <x:c r="M152" s="208"/>
      <x:c r="N152" s="142"/>
      <x:c r="O152" s="142"/>
      <x:c r="P152" s="142"/>
      <x:c r="Q152" s="208"/>
      <x:c r="R152" s="208"/>
      <x:c r="S152" s="202" t="str">
        <x:f>IF(A152="","",IF(COUNTIF(F152:J152,"Sim")=5,"PRONTO","PENDENTE"))</x:f>
      </x:c>
      <x:c r="T152" s="142"/>
    </x:row>
    <x:row r="153" ht="19" customHeight="1">
      <x:c r="A153" s="142"/>
      <x:c r="B153" s="142"/>
      <x:c r="C153" s="142"/>
      <x:c r="D153" s="142"/>
      <x:c r="E153" s="142"/>
      <x:c r="F153" s="142"/>
      <x:c r="G153" s="142"/>
      <x:c r="H153" s="142"/>
      <x:c r="I153" s="142"/>
      <x:c r="J153" s="142"/>
      <x:c r="K153" s="142"/>
      <x:c r="L153" s="208"/>
      <x:c r="M153" s="208"/>
      <x:c r="N153" s="142"/>
      <x:c r="O153" s="142"/>
      <x:c r="P153" s="142"/>
      <x:c r="Q153" s="208"/>
      <x:c r="R153" s="208"/>
      <x:c r="S153" s="202" t="str">
        <x:f>IF(A153="","",IF(COUNTIF(F153:J153,"Sim")=5,"PRONTO","PENDENTE"))</x:f>
      </x:c>
      <x:c r="T153" s="142"/>
    </x:row>
    <x:row r="154" ht="19" customHeight="1">
      <x:c r="A154" s="142"/>
      <x:c r="B154" s="142"/>
      <x:c r="C154" s="142"/>
      <x:c r="D154" s="142"/>
      <x:c r="E154" s="142"/>
      <x:c r="F154" s="142"/>
      <x:c r="G154" s="142"/>
      <x:c r="H154" s="142"/>
      <x:c r="I154" s="142"/>
      <x:c r="J154" s="142"/>
      <x:c r="K154" s="142"/>
      <x:c r="L154" s="208"/>
      <x:c r="M154" s="208"/>
      <x:c r="N154" s="142"/>
      <x:c r="O154" s="142"/>
      <x:c r="P154" s="142"/>
      <x:c r="Q154" s="208"/>
      <x:c r="R154" s="208"/>
      <x:c r="S154" s="202" t="str">
        <x:f>IF(A154="","",IF(COUNTIF(F154:J154,"Sim")=5,"PRONTO","PENDENTE"))</x:f>
      </x:c>
      <x:c r="T154" s="142"/>
    </x:row>
    <x:row r="155" ht="19" customHeight="1">
      <x:c r="A155" s="142"/>
      <x:c r="B155" s="142"/>
      <x:c r="C155" s="142"/>
      <x:c r="D155" s="142"/>
      <x:c r="E155" s="142"/>
      <x:c r="F155" s="142"/>
      <x:c r="G155" s="142"/>
      <x:c r="H155" s="142"/>
      <x:c r="I155" s="142"/>
      <x:c r="J155" s="142"/>
      <x:c r="K155" s="142"/>
      <x:c r="L155" s="208"/>
      <x:c r="M155" s="208"/>
      <x:c r="N155" s="142"/>
      <x:c r="O155" s="142"/>
      <x:c r="P155" s="142"/>
      <x:c r="Q155" s="208"/>
      <x:c r="R155" s="208"/>
      <x:c r="S155" s="202" t="str">
        <x:f>IF(A155="","",IF(COUNTIF(F155:J155,"Sim")=5,"PRONTO","PENDENTE"))</x:f>
      </x:c>
      <x:c r="T155" s="142"/>
    </x:row>
    <x:row r="156" ht="19" customHeight="1">
      <x:c r="A156" s="142"/>
      <x:c r="B156" s="142"/>
      <x:c r="C156" s="142"/>
      <x:c r="D156" s="142"/>
      <x:c r="E156" s="142"/>
      <x:c r="F156" s="142"/>
      <x:c r="G156" s="142"/>
      <x:c r="H156" s="142"/>
      <x:c r="I156" s="142"/>
      <x:c r="J156" s="142"/>
      <x:c r="K156" s="142"/>
      <x:c r="L156" s="208"/>
      <x:c r="M156" s="208"/>
      <x:c r="N156" s="142"/>
      <x:c r="O156" s="142"/>
      <x:c r="P156" s="142"/>
      <x:c r="Q156" s="208"/>
      <x:c r="R156" s="208"/>
      <x:c r="S156" s="202" t="str">
        <x:f>IF(A156="","",IF(COUNTIF(F156:J156,"Sim")=5,"PRONTO","PENDENTE"))</x:f>
      </x:c>
      <x:c r="T156" s="142"/>
    </x:row>
    <x:row r="157" ht="19" customHeight="1">
      <x:c r="A157" s="142"/>
      <x:c r="B157" s="142"/>
      <x:c r="C157" s="142"/>
      <x:c r="D157" s="142"/>
      <x:c r="E157" s="142"/>
      <x:c r="F157" s="142"/>
      <x:c r="G157" s="142"/>
      <x:c r="H157" s="142"/>
      <x:c r="I157" s="142"/>
      <x:c r="J157" s="142"/>
      <x:c r="K157" s="142"/>
      <x:c r="L157" s="208"/>
      <x:c r="M157" s="208"/>
      <x:c r="N157" s="142"/>
      <x:c r="O157" s="142"/>
      <x:c r="P157" s="142"/>
      <x:c r="Q157" s="208"/>
      <x:c r="R157" s="208"/>
      <x:c r="S157" s="202" t="str">
        <x:f>IF(A157="","",IF(COUNTIF(F157:J157,"Sim")=5,"PRONTO","PENDENTE"))</x:f>
      </x:c>
      <x:c r="T157" s="142"/>
    </x:row>
    <x:row r="158" ht="19" customHeight="1">
      <x:c r="A158" s="142"/>
      <x:c r="B158" s="142"/>
      <x:c r="C158" s="142"/>
      <x:c r="D158" s="142"/>
      <x:c r="E158" s="142"/>
      <x:c r="F158" s="142"/>
      <x:c r="G158" s="142"/>
      <x:c r="H158" s="142"/>
      <x:c r="I158" s="142"/>
      <x:c r="J158" s="142"/>
      <x:c r="K158" s="142"/>
      <x:c r="L158" s="208"/>
      <x:c r="M158" s="208"/>
      <x:c r="N158" s="142"/>
      <x:c r="O158" s="142"/>
      <x:c r="P158" s="142"/>
      <x:c r="Q158" s="208"/>
      <x:c r="R158" s="208"/>
      <x:c r="S158" s="202" t="str">
        <x:f>IF(A158="","",IF(COUNTIF(F158:J158,"Sim")=5,"PRONTO","PENDENTE"))</x:f>
      </x:c>
      <x:c r="T158" s="142"/>
    </x:row>
    <x:row r="159" ht="19" customHeight="1">
      <x:c r="A159" s="142"/>
      <x:c r="B159" s="142"/>
      <x:c r="C159" s="142"/>
      <x:c r="D159" s="142"/>
      <x:c r="E159" s="142"/>
      <x:c r="F159" s="142"/>
      <x:c r="G159" s="142"/>
      <x:c r="H159" s="142"/>
      <x:c r="I159" s="142"/>
      <x:c r="J159" s="142"/>
      <x:c r="K159" s="142"/>
      <x:c r="L159" s="208"/>
      <x:c r="M159" s="208"/>
      <x:c r="N159" s="142"/>
      <x:c r="O159" s="142"/>
      <x:c r="P159" s="142"/>
      <x:c r="Q159" s="208"/>
      <x:c r="R159" s="208"/>
      <x:c r="S159" s="202" t="str">
        <x:f>IF(A159="","",IF(COUNTIF(F159:J159,"Sim")=5,"PRONTO","PENDENTE"))</x:f>
      </x:c>
      <x:c r="T159" s="142"/>
    </x:row>
    <x:row r="160" ht="19" customHeight="1">
      <x:c r="A160" s="142"/>
      <x:c r="B160" s="142"/>
      <x:c r="C160" s="142"/>
      <x:c r="D160" s="142"/>
      <x:c r="E160" s="142"/>
      <x:c r="F160" s="142"/>
      <x:c r="G160" s="142"/>
      <x:c r="H160" s="142"/>
      <x:c r="I160" s="142"/>
      <x:c r="J160" s="142"/>
      <x:c r="K160" s="142"/>
      <x:c r="L160" s="208"/>
      <x:c r="M160" s="208"/>
      <x:c r="N160" s="142"/>
      <x:c r="O160" s="142"/>
      <x:c r="P160" s="142"/>
      <x:c r="Q160" s="208"/>
      <x:c r="R160" s="208"/>
      <x:c r="S160" s="202" t="str">
        <x:f>IF(A160="","",IF(COUNTIF(F160:J160,"Sim")=5,"PRONTO","PENDENTE"))</x:f>
      </x:c>
      <x:c r="T160" s="142"/>
    </x:row>
    <x:row r="161" ht="19" customHeight="1">
      <x:c r="A161" s="142"/>
      <x:c r="B161" s="142"/>
      <x:c r="C161" s="142"/>
      <x:c r="D161" s="142"/>
      <x:c r="E161" s="142"/>
      <x:c r="F161" s="142"/>
      <x:c r="G161" s="142"/>
      <x:c r="H161" s="142"/>
      <x:c r="I161" s="142"/>
      <x:c r="J161" s="142"/>
      <x:c r="K161" s="142"/>
      <x:c r="L161" s="208"/>
      <x:c r="M161" s="208"/>
      <x:c r="N161" s="142"/>
      <x:c r="O161" s="142"/>
      <x:c r="P161" s="142"/>
      <x:c r="Q161" s="208"/>
      <x:c r="R161" s="208"/>
      <x:c r="S161" s="202" t="str">
        <x:f>IF(A161="","",IF(COUNTIF(F161:J161,"Sim")=5,"PRONTO","PENDENTE"))</x:f>
      </x:c>
      <x:c r="T161" s="142"/>
    </x:row>
    <x:row r="162" ht="19" customHeight="1">
      <x:c r="A162" s="142"/>
      <x:c r="B162" s="142"/>
      <x:c r="C162" s="142"/>
      <x:c r="D162" s="142"/>
      <x:c r="E162" s="142"/>
      <x:c r="F162" s="142"/>
      <x:c r="G162" s="142"/>
      <x:c r="H162" s="142"/>
      <x:c r="I162" s="142"/>
      <x:c r="J162" s="142"/>
      <x:c r="K162" s="142"/>
      <x:c r="L162" s="208"/>
      <x:c r="M162" s="208"/>
      <x:c r="N162" s="142"/>
      <x:c r="O162" s="142"/>
      <x:c r="P162" s="142"/>
      <x:c r="Q162" s="208"/>
      <x:c r="R162" s="208"/>
      <x:c r="S162" s="202" t="str">
        <x:f>IF(A162="","",IF(COUNTIF(F162:J162,"Sim")=5,"PRONTO","PENDENTE"))</x:f>
      </x:c>
      <x:c r="T162" s="142"/>
    </x:row>
    <x:row r="163" ht="19" customHeight="1">
      <x:c r="A163" s="142"/>
      <x:c r="B163" s="142"/>
      <x:c r="C163" s="142"/>
      <x:c r="D163" s="142"/>
      <x:c r="E163" s="142"/>
      <x:c r="F163" s="142"/>
      <x:c r="G163" s="142"/>
      <x:c r="H163" s="142"/>
      <x:c r="I163" s="142"/>
      <x:c r="J163" s="142"/>
      <x:c r="K163" s="142"/>
      <x:c r="L163" s="208"/>
      <x:c r="M163" s="208"/>
      <x:c r="N163" s="142"/>
      <x:c r="O163" s="142"/>
      <x:c r="P163" s="142"/>
      <x:c r="Q163" s="208"/>
      <x:c r="R163" s="208"/>
      <x:c r="S163" s="202" t="str">
        <x:f>IF(A163="","",IF(COUNTIF(F163:J163,"Sim")=5,"PRONTO","PENDENTE"))</x:f>
      </x:c>
      <x:c r="T163" s="142"/>
    </x:row>
    <x:row r="164" ht="19" customHeight="1">
      <x:c r="A164" s="142"/>
      <x:c r="B164" s="142"/>
      <x:c r="C164" s="142"/>
      <x:c r="D164" s="142"/>
      <x:c r="E164" s="142"/>
      <x:c r="F164" s="142"/>
      <x:c r="G164" s="142"/>
      <x:c r="H164" s="142"/>
      <x:c r="I164" s="142"/>
      <x:c r="J164" s="142"/>
      <x:c r="K164" s="142"/>
      <x:c r="L164" s="208"/>
      <x:c r="M164" s="208"/>
      <x:c r="N164" s="142"/>
      <x:c r="O164" s="142"/>
      <x:c r="P164" s="142"/>
      <x:c r="Q164" s="208"/>
      <x:c r="R164" s="208"/>
      <x:c r="S164" s="202" t="str">
        <x:f>IF(A164="","",IF(COUNTIF(F164:J164,"Sim")=5,"PRONTO","PENDENTE"))</x:f>
      </x:c>
      <x:c r="T164" s="142"/>
    </x:row>
    <x:row r="165" ht="19" customHeight="1">
      <x:c r="A165" s="142"/>
      <x:c r="B165" s="142"/>
      <x:c r="C165" s="142"/>
      <x:c r="D165" s="142"/>
      <x:c r="E165" s="142"/>
      <x:c r="F165" s="142"/>
      <x:c r="G165" s="142"/>
      <x:c r="H165" s="142"/>
      <x:c r="I165" s="142"/>
      <x:c r="J165" s="142"/>
      <x:c r="K165" s="142"/>
      <x:c r="L165" s="208"/>
      <x:c r="M165" s="208"/>
      <x:c r="N165" s="142"/>
      <x:c r="O165" s="142"/>
      <x:c r="P165" s="142"/>
      <x:c r="Q165" s="208"/>
      <x:c r="R165" s="208"/>
      <x:c r="S165" s="202" t="str">
        <x:f>IF(A165="","",IF(COUNTIF(F165:J165,"Sim")=5,"PRONTO","PENDENTE"))</x:f>
      </x:c>
      <x:c r="T165" s="142"/>
    </x:row>
    <x:row r="166" ht="19" customHeight="1">
      <x:c r="A166" s="142"/>
      <x:c r="B166" s="142"/>
      <x:c r="C166" s="142"/>
      <x:c r="D166" s="142"/>
      <x:c r="E166" s="142"/>
      <x:c r="F166" s="142"/>
      <x:c r="G166" s="142"/>
      <x:c r="H166" s="142"/>
      <x:c r="I166" s="142"/>
      <x:c r="J166" s="142"/>
      <x:c r="K166" s="142"/>
      <x:c r="L166" s="208"/>
      <x:c r="M166" s="208"/>
      <x:c r="N166" s="142"/>
      <x:c r="O166" s="142"/>
      <x:c r="P166" s="142"/>
      <x:c r="Q166" s="208"/>
      <x:c r="R166" s="208"/>
      <x:c r="S166" s="202" t="str">
        <x:f>IF(A166="","",IF(COUNTIF(F166:J166,"Sim")=5,"PRONTO","PENDENTE"))</x:f>
      </x:c>
      <x:c r="T166" s="142"/>
    </x:row>
    <x:row r="167" ht="19" customHeight="1">
      <x:c r="A167" s="142"/>
      <x:c r="B167" s="142"/>
      <x:c r="C167" s="142"/>
      <x:c r="D167" s="142"/>
      <x:c r="E167" s="142"/>
      <x:c r="F167" s="142"/>
      <x:c r="G167" s="142"/>
      <x:c r="H167" s="142"/>
      <x:c r="I167" s="142"/>
      <x:c r="J167" s="142"/>
      <x:c r="K167" s="142"/>
      <x:c r="L167" s="208"/>
      <x:c r="M167" s="208"/>
      <x:c r="N167" s="142"/>
      <x:c r="O167" s="142"/>
      <x:c r="P167" s="142"/>
      <x:c r="Q167" s="208"/>
      <x:c r="R167" s="208"/>
      <x:c r="S167" s="202" t="str">
        <x:f>IF(A167="","",IF(COUNTIF(F167:J167,"Sim")=5,"PRONTO","PENDENTE"))</x:f>
      </x:c>
      <x:c r="T167" s="142"/>
    </x:row>
    <x:row r="168" ht="19" customHeight="1">
      <x:c r="A168" s="142"/>
      <x:c r="B168" s="142"/>
      <x:c r="C168" s="142"/>
      <x:c r="D168" s="142"/>
      <x:c r="E168" s="142"/>
      <x:c r="F168" s="142"/>
      <x:c r="G168" s="142"/>
      <x:c r="H168" s="142"/>
      <x:c r="I168" s="142"/>
      <x:c r="J168" s="142"/>
      <x:c r="K168" s="142"/>
      <x:c r="L168" s="208"/>
      <x:c r="M168" s="208"/>
      <x:c r="N168" s="142"/>
      <x:c r="O168" s="142"/>
      <x:c r="P168" s="142"/>
      <x:c r="Q168" s="208"/>
      <x:c r="R168" s="208"/>
      <x:c r="S168" s="202" t="str">
        <x:f>IF(A168="","",IF(COUNTIF(F168:J168,"Sim")=5,"PRONTO","PENDENTE"))</x:f>
      </x:c>
      <x:c r="T168" s="142"/>
    </x:row>
    <x:row r="169" ht="19" customHeight="1">
      <x:c r="A169" s="142"/>
      <x:c r="B169" s="142"/>
      <x:c r="C169" s="142"/>
      <x:c r="D169" s="142"/>
      <x:c r="E169" s="142"/>
      <x:c r="F169" s="142"/>
      <x:c r="G169" s="142"/>
      <x:c r="H169" s="142"/>
      <x:c r="I169" s="142"/>
      <x:c r="J169" s="142"/>
      <x:c r="K169" s="142"/>
      <x:c r="L169" s="208"/>
      <x:c r="M169" s="208"/>
      <x:c r="N169" s="142"/>
      <x:c r="O169" s="142"/>
      <x:c r="P169" s="142"/>
      <x:c r="Q169" s="208"/>
      <x:c r="R169" s="208"/>
      <x:c r="S169" s="202" t="str">
        <x:f>IF(A169="","",IF(COUNTIF(F169:J169,"Sim")=5,"PRONTO","PENDENTE"))</x:f>
      </x:c>
      <x:c r="T169" s="142"/>
    </x:row>
    <x:row r="170" ht="19" customHeight="1">
      <x:c r="A170" s="142"/>
      <x:c r="B170" s="142"/>
      <x:c r="C170" s="142"/>
      <x:c r="D170" s="142"/>
      <x:c r="E170" s="142"/>
      <x:c r="F170" s="142"/>
      <x:c r="G170" s="142"/>
      <x:c r="H170" s="142"/>
      <x:c r="I170" s="142"/>
      <x:c r="J170" s="142"/>
      <x:c r="K170" s="142"/>
      <x:c r="L170" s="208"/>
      <x:c r="M170" s="208"/>
      <x:c r="N170" s="142"/>
      <x:c r="O170" s="142"/>
      <x:c r="P170" s="142"/>
      <x:c r="Q170" s="208"/>
      <x:c r="R170" s="208"/>
      <x:c r="S170" s="202" t="str">
        <x:f>IF(A170="","",IF(COUNTIF(F170:J170,"Sim")=5,"PRONTO","PENDENTE"))</x:f>
      </x:c>
      <x:c r="T170" s="142"/>
    </x:row>
    <x:row r="171" ht="19" customHeight="1">
      <x:c r="A171" s="142"/>
      <x:c r="B171" s="142"/>
      <x:c r="C171" s="142"/>
      <x:c r="D171" s="142"/>
      <x:c r="E171" s="142"/>
      <x:c r="F171" s="142"/>
      <x:c r="G171" s="142"/>
      <x:c r="H171" s="142"/>
      <x:c r="I171" s="142"/>
      <x:c r="J171" s="142"/>
      <x:c r="K171" s="142"/>
      <x:c r="L171" s="208"/>
      <x:c r="M171" s="208"/>
      <x:c r="N171" s="142"/>
      <x:c r="O171" s="142"/>
      <x:c r="P171" s="142"/>
      <x:c r="Q171" s="208"/>
      <x:c r="R171" s="208"/>
      <x:c r="S171" s="202" t="str">
        <x:f>IF(A171="","",IF(COUNTIF(F171:J171,"Sim")=5,"PRONTO","PENDENTE"))</x:f>
      </x:c>
      <x:c r="T171" s="142"/>
    </x:row>
    <x:row r="172" ht="19" customHeight="1">
      <x:c r="A172" s="142"/>
      <x:c r="B172" s="142"/>
      <x:c r="C172" s="142"/>
      <x:c r="D172" s="142"/>
      <x:c r="E172" s="142"/>
      <x:c r="F172" s="142"/>
      <x:c r="G172" s="142"/>
      <x:c r="H172" s="142"/>
      <x:c r="I172" s="142"/>
      <x:c r="J172" s="142"/>
      <x:c r="K172" s="142"/>
      <x:c r="L172" s="208"/>
      <x:c r="M172" s="208"/>
      <x:c r="N172" s="142"/>
      <x:c r="O172" s="142"/>
      <x:c r="P172" s="142"/>
      <x:c r="Q172" s="208"/>
      <x:c r="R172" s="208"/>
      <x:c r="S172" s="202" t="str">
        <x:f>IF(A172="","",IF(COUNTIF(F172:J172,"Sim")=5,"PRONTO","PENDENTE"))</x:f>
      </x:c>
      <x:c r="T172" s="142"/>
    </x:row>
    <x:row r="173" ht="19" customHeight="1">
      <x:c r="A173" s="142"/>
      <x:c r="B173" s="142"/>
      <x:c r="C173" s="142"/>
      <x:c r="D173" s="142"/>
      <x:c r="E173" s="142"/>
      <x:c r="F173" s="142"/>
      <x:c r="G173" s="142"/>
      <x:c r="H173" s="142"/>
      <x:c r="I173" s="142"/>
      <x:c r="J173" s="142"/>
      <x:c r="K173" s="142"/>
      <x:c r="L173" s="208"/>
      <x:c r="M173" s="208"/>
      <x:c r="N173" s="142"/>
      <x:c r="O173" s="142"/>
      <x:c r="P173" s="142"/>
      <x:c r="Q173" s="208"/>
      <x:c r="R173" s="208"/>
      <x:c r="S173" s="202" t="str">
        <x:f>IF(A173="","",IF(COUNTIF(F173:J173,"Sim")=5,"PRONTO","PENDENTE"))</x:f>
      </x:c>
      <x:c r="T173" s="142"/>
    </x:row>
    <x:row r="174" ht="19" customHeight="1">
      <x:c r="A174" s="142"/>
      <x:c r="B174" s="142"/>
      <x:c r="C174" s="142"/>
      <x:c r="D174" s="142"/>
      <x:c r="E174" s="142"/>
      <x:c r="F174" s="142"/>
      <x:c r="G174" s="142"/>
      <x:c r="H174" s="142"/>
      <x:c r="I174" s="142"/>
      <x:c r="J174" s="142"/>
      <x:c r="K174" s="142"/>
      <x:c r="L174" s="208"/>
      <x:c r="M174" s="208"/>
      <x:c r="N174" s="142"/>
      <x:c r="O174" s="142"/>
      <x:c r="P174" s="142"/>
      <x:c r="Q174" s="208"/>
      <x:c r="R174" s="208"/>
      <x:c r="S174" s="202" t="str">
        <x:f>IF(A174="","",IF(COUNTIF(F174:J174,"Sim")=5,"PRONTO","PENDENTE"))</x:f>
      </x:c>
      <x:c r="T174" s="142"/>
    </x:row>
    <x:row r="175" ht="19" customHeight="1">
      <x:c r="A175" s="142"/>
      <x:c r="B175" s="142"/>
      <x:c r="C175" s="142"/>
      <x:c r="D175" s="142"/>
      <x:c r="E175" s="142"/>
      <x:c r="F175" s="142"/>
      <x:c r="G175" s="142"/>
      <x:c r="H175" s="142"/>
      <x:c r="I175" s="142"/>
      <x:c r="J175" s="142"/>
      <x:c r="K175" s="142"/>
      <x:c r="L175" s="208"/>
      <x:c r="M175" s="208"/>
      <x:c r="N175" s="142"/>
      <x:c r="O175" s="142"/>
      <x:c r="P175" s="142"/>
      <x:c r="Q175" s="208"/>
      <x:c r="R175" s="208"/>
      <x:c r="S175" s="202" t="str">
        <x:f>IF(A175="","",IF(COUNTIF(F175:J175,"Sim")=5,"PRONTO","PENDENTE"))</x:f>
      </x:c>
      <x:c r="T175" s="142"/>
    </x:row>
    <x:row r="176" ht="19" customHeight="1">
      <x:c r="A176" s="142"/>
      <x:c r="B176" s="142"/>
      <x:c r="C176" s="142"/>
      <x:c r="D176" s="142"/>
      <x:c r="E176" s="142"/>
      <x:c r="F176" s="142"/>
      <x:c r="G176" s="142"/>
      <x:c r="H176" s="142"/>
      <x:c r="I176" s="142"/>
      <x:c r="J176" s="142"/>
      <x:c r="K176" s="142"/>
      <x:c r="L176" s="208"/>
      <x:c r="M176" s="208"/>
      <x:c r="N176" s="142"/>
      <x:c r="O176" s="142"/>
      <x:c r="P176" s="142"/>
      <x:c r="Q176" s="208"/>
      <x:c r="R176" s="208"/>
      <x:c r="S176" s="202" t="str">
        <x:f>IF(A176="","",IF(COUNTIF(F176:J176,"Sim")=5,"PRONTO","PENDENTE"))</x:f>
      </x:c>
      <x:c r="T176" s="142"/>
    </x:row>
    <x:row r="177" ht="19" customHeight="1">
      <x:c r="A177" s="142"/>
      <x:c r="B177" s="142"/>
      <x:c r="C177" s="142"/>
      <x:c r="D177" s="142"/>
      <x:c r="E177" s="142"/>
      <x:c r="F177" s="142"/>
      <x:c r="G177" s="142"/>
      <x:c r="H177" s="142"/>
      <x:c r="I177" s="142"/>
      <x:c r="J177" s="142"/>
      <x:c r="K177" s="142"/>
      <x:c r="L177" s="208"/>
      <x:c r="M177" s="208"/>
      <x:c r="N177" s="142"/>
      <x:c r="O177" s="142"/>
      <x:c r="P177" s="142"/>
      <x:c r="Q177" s="208"/>
      <x:c r="R177" s="208"/>
      <x:c r="S177" s="202" t="str">
        <x:f>IF(A177="","",IF(COUNTIF(F177:J177,"Sim")=5,"PRONTO","PENDENTE"))</x:f>
      </x:c>
      <x:c r="T177" s="142"/>
    </x:row>
    <x:row r="178" ht="19" customHeight="1">
      <x:c r="A178" s="142"/>
      <x:c r="B178" s="142"/>
      <x:c r="C178" s="142"/>
      <x:c r="D178" s="142"/>
      <x:c r="E178" s="142"/>
      <x:c r="F178" s="142"/>
      <x:c r="G178" s="142"/>
      <x:c r="H178" s="142"/>
      <x:c r="I178" s="142"/>
      <x:c r="J178" s="142"/>
      <x:c r="K178" s="142"/>
      <x:c r="L178" s="208"/>
      <x:c r="M178" s="208"/>
      <x:c r="N178" s="142"/>
      <x:c r="O178" s="142"/>
      <x:c r="P178" s="142"/>
      <x:c r="Q178" s="208"/>
      <x:c r="R178" s="208"/>
      <x:c r="S178" s="202" t="str">
        <x:f>IF(A178="","",IF(COUNTIF(F178:J178,"Sim")=5,"PRONTO","PENDENTE"))</x:f>
      </x:c>
      <x:c r="T178" s="142"/>
    </x:row>
    <x:row r="179" ht="19" customHeight="1">
      <x:c r="A179" s="142"/>
      <x:c r="B179" s="142"/>
      <x:c r="C179" s="142"/>
      <x:c r="D179" s="142"/>
      <x:c r="E179" s="142"/>
      <x:c r="F179" s="142"/>
      <x:c r="G179" s="142"/>
      <x:c r="H179" s="142"/>
      <x:c r="I179" s="142"/>
      <x:c r="J179" s="142"/>
      <x:c r="K179" s="142"/>
      <x:c r="L179" s="208"/>
      <x:c r="M179" s="208"/>
      <x:c r="N179" s="142"/>
      <x:c r="O179" s="142"/>
      <x:c r="P179" s="142"/>
      <x:c r="Q179" s="208"/>
      <x:c r="R179" s="208"/>
      <x:c r="S179" s="202" t="str">
        <x:f>IF(A179="","",IF(COUNTIF(F179:J179,"Sim")=5,"PRONTO","PENDENTE"))</x:f>
      </x:c>
      <x:c r="T179" s="142"/>
    </x:row>
    <x:row r="180" ht="19" customHeight="1">
      <x:c r="A180" s="142"/>
      <x:c r="B180" s="142"/>
      <x:c r="C180" s="142"/>
      <x:c r="D180" s="142"/>
      <x:c r="E180" s="142"/>
      <x:c r="F180" s="142"/>
      <x:c r="G180" s="142"/>
      <x:c r="H180" s="142"/>
      <x:c r="I180" s="142"/>
      <x:c r="J180" s="142"/>
      <x:c r="K180" s="142"/>
      <x:c r="L180" s="208"/>
      <x:c r="M180" s="208"/>
      <x:c r="N180" s="142"/>
      <x:c r="O180" s="142"/>
      <x:c r="P180" s="142"/>
      <x:c r="Q180" s="208"/>
      <x:c r="R180" s="208"/>
      <x:c r="S180" s="202" t="str">
        <x:f>IF(A180="","",IF(COUNTIF(F180:J180,"Sim")=5,"PRONTO","PENDENTE"))</x:f>
      </x:c>
      <x:c r="T180" s="142"/>
    </x:row>
    <x:row r="181" ht="19" customHeight="1">
      <x:c r="A181" s="142"/>
      <x:c r="B181" s="142"/>
      <x:c r="C181" s="142"/>
      <x:c r="D181" s="142"/>
      <x:c r="E181" s="142"/>
      <x:c r="F181" s="142"/>
      <x:c r="G181" s="142"/>
      <x:c r="H181" s="142"/>
      <x:c r="I181" s="142"/>
      <x:c r="J181" s="142"/>
      <x:c r="K181" s="142"/>
      <x:c r="L181" s="208"/>
      <x:c r="M181" s="208"/>
      <x:c r="N181" s="142"/>
      <x:c r="O181" s="142"/>
      <x:c r="P181" s="142"/>
      <x:c r="Q181" s="208"/>
      <x:c r="R181" s="208"/>
      <x:c r="S181" s="202" t="str">
        <x:f>IF(A181="","",IF(COUNTIF(F181:J181,"Sim")=5,"PRONTO","PENDENTE"))</x:f>
      </x:c>
      <x:c r="T181" s="142"/>
    </x:row>
    <x:row r="182" ht="19" customHeight="1">
      <x:c r="A182" s="142"/>
      <x:c r="B182" s="142"/>
      <x:c r="C182" s="142"/>
      <x:c r="D182" s="142"/>
      <x:c r="E182" s="142"/>
      <x:c r="F182" s="142"/>
      <x:c r="G182" s="142"/>
      <x:c r="H182" s="142"/>
      <x:c r="I182" s="142"/>
      <x:c r="J182" s="142"/>
      <x:c r="K182" s="142"/>
      <x:c r="L182" s="208"/>
      <x:c r="M182" s="208"/>
      <x:c r="N182" s="142"/>
      <x:c r="O182" s="142"/>
      <x:c r="P182" s="142"/>
      <x:c r="Q182" s="208"/>
      <x:c r="R182" s="208"/>
      <x:c r="S182" s="202" t="str">
        <x:f>IF(A182="","",IF(COUNTIF(F182:J182,"Sim")=5,"PRONTO","PENDENTE"))</x:f>
      </x:c>
      <x:c r="T182" s="142"/>
    </x:row>
    <x:row r="183" ht="19" customHeight="1">
      <x:c r="A183" s="142"/>
      <x:c r="B183" s="142"/>
      <x:c r="C183" s="142"/>
      <x:c r="D183" s="142"/>
      <x:c r="E183" s="142"/>
      <x:c r="F183" s="142"/>
      <x:c r="G183" s="142"/>
      <x:c r="H183" s="142"/>
      <x:c r="I183" s="142"/>
      <x:c r="J183" s="142"/>
      <x:c r="K183" s="142"/>
      <x:c r="L183" s="208"/>
      <x:c r="M183" s="208"/>
      <x:c r="N183" s="142"/>
      <x:c r="O183" s="142"/>
      <x:c r="P183" s="142"/>
      <x:c r="Q183" s="208"/>
      <x:c r="R183" s="208"/>
      <x:c r="S183" s="202" t="str">
        <x:f>IF(A183="","",IF(COUNTIF(F183:J183,"Sim")=5,"PRONTO","PENDENTE"))</x:f>
      </x:c>
      <x:c r="T183" s="142"/>
    </x:row>
    <x:row r="184" ht="19" customHeight="1">
      <x:c r="A184" s="142"/>
      <x:c r="B184" s="142"/>
      <x:c r="C184" s="142"/>
      <x:c r="D184" s="142"/>
      <x:c r="E184" s="142"/>
      <x:c r="F184" s="142"/>
      <x:c r="G184" s="142"/>
      <x:c r="H184" s="142"/>
      <x:c r="I184" s="142"/>
      <x:c r="J184" s="142"/>
      <x:c r="K184" s="142"/>
      <x:c r="L184" s="208"/>
      <x:c r="M184" s="208"/>
      <x:c r="N184" s="142"/>
      <x:c r="O184" s="142"/>
      <x:c r="P184" s="142"/>
      <x:c r="Q184" s="208"/>
      <x:c r="R184" s="208"/>
      <x:c r="S184" s="202" t="str">
        <x:f>IF(A184="","",IF(COUNTIF(F184:J184,"Sim")=5,"PRONTO","PENDENTE"))</x:f>
      </x:c>
      <x:c r="T184" s="142"/>
    </x:row>
    <x:row r="185" ht="19" customHeight="1">
      <x:c r="A185" s="142"/>
      <x:c r="B185" s="142"/>
      <x:c r="C185" s="142"/>
      <x:c r="D185" s="142"/>
      <x:c r="E185" s="142"/>
      <x:c r="F185" s="142"/>
      <x:c r="G185" s="142"/>
      <x:c r="H185" s="142"/>
      <x:c r="I185" s="142"/>
      <x:c r="J185" s="142"/>
      <x:c r="K185" s="142"/>
      <x:c r="L185" s="208"/>
      <x:c r="M185" s="208"/>
      <x:c r="N185" s="142"/>
      <x:c r="O185" s="142"/>
      <x:c r="P185" s="142"/>
      <x:c r="Q185" s="208"/>
      <x:c r="R185" s="208"/>
      <x:c r="S185" s="202" t="str">
        <x:f>IF(A185="","",IF(COUNTIF(F185:J185,"Sim")=5,"PRONTO","PENDENTE"))</x:f>
      </x:c>
      <x:c r="T185" s="142"/>
    </x:row>
    <x:row r="186" ht="19" customHeight="1">
      <x:c r="A186" s="142"/>
      <x:c r="B186" s="142"/>
      <x:c r="C186" s="142"/>
      <x:c r="D186" s="142"/>
      <x:c r="E186" s="142"/>
      <x:c r="F186" s="142"/>
      <x:c r="G186" s="142"/>
      <x:c r="H186" s="142"/>
      <x:c r="I186" s="142"/>
      <x:c r="J186" s="142"/>
      <x:c r="K186" s="142"/>
      <x:c r="L186" s="208"/>
      <x:c r="M186" s="208"/>
      <x:c r="N186" s="142"/>
      <x:c r="O186" s="142"/>
      <x:c r="P186" s="142"/>
      <x:c r="Q186" s="208"/>
      <x:c r="R186" s="208"/>
      <x:c r="S186" s="202" t="str">
        <x:f>IF(A186="","",IF(COUNTIF(F186:J186,"Sim")=5,"PRONTO","PENDENTE"))</x:f>
      </x:c>
      <x:c r="T186" s="142"/>
    </x:row>
    <x:row r="187" ht="19" customHeight="1">
      <x:c r="A187" s="142"/>
      <x:c r="B187" s="142"/>
      <x:c r="C187" s="142"/>
      <x:c r="D187" s="142"/>
      <x:c r="E187" s="142"/>
      <x:c r="F187" s="142"/>
      <x:c r="G187" s="142"/>
      <x:c r="H187" s="142"/>
      <x:c r="I187" s="142"/>
      <x:c r="J187" s="142"/>
      <x:c r="K187" s="142"/>
      <x:c r="L187" s="208"/>
      <x:c r="M187" s="208"/>
      <x:c r="N187" s="142"/>
      <x:c r="O187" s="142"/>
      <x:c r="P187" s="142"/>
      <x:c r="Q187" s="208"/>
      <x:c r="R187" s="208"/>
      <x:c r="S187" s="202" t="str">
        <x:f>IF(A187="","",IF(COUNTIF(F187:J187,"Sim")=5,"PRONTO","PENDENTE"))</x:f>
      </x:c>
      <x:c r="T187" s="142"/>
    </x:row>
    <x:row r="188" ht="19" customHeight="1">
      <x:c r="A188" s="142"/>
      <x:c r="B188" s="142"/>
      <x:c r="C188" s="142"/>
      <x:c r="D188" s="142"/>
      <x:c r="E188" s="142"/>
      <x:c r="F188" s="142"/>
      <x:c r="G188" s="142"/>
      <x:c r="H188" s="142"/>
      <x:c r="I188" s="142"/>
      <x:c r="J188" s="142"/>
      <x:c r="K188" s="142"/>
      <x:c r="L188" s="208"/>
      <x:c r="M188" s="208"/>
      <x:c r="N188" s="142"/>
      <x:c r="O188" s="142"/>
      <x:c r="P188" s="142"/>
      <x:c r="Q188" s="208"/>
      <x:c r="R188" s="208"/>
      <x:c r="S188" s="202" t="str">
        <x:f>IF(A188="","",IF(COUNTIF(F188:J188,"Sim")=5,"PRONTO","PENDENTE"))</x:f>
      </x:c>
      <x:c r="T188" s="142"/>
    </x:row>
    <x:row r="189" ht="19" customHeight="1">
      <x:c r="A189" s="142"/>
      <x:c r="B189" s="142"/>
      <x:c r="C189" s="142"/>
      <x:c r="D189" s="142"/>
      <x:c r="E189" s="142"/>
      <x:c r="F189" s="142"/>
      <x:c r="G189" s="142"/>
      <x:c r="H189" s="142"/>
      <x:c r="I189" s="142"/>
      <x:c r="J189" s="142"/>
      <x:c r="K189" s="142"/>
      <x:c r="L189" s="208"/>
      <x:c r="M189" s="208"/>
      <x:c r="N189" s="142"/>
      <x:c r="O189" s="142"/>
      <x:c r="P189" s="142"/>
      <x:c r="Q189" s="208"/>
      <x:c r="R189" s="208"/>
      <x:c r="S189" s="202" t="str">
        <x:f>IF(A189="","",IF(COUNTIF(F189:J189,"Sim")=5,"PRONTO","PENDENTE"))</x:f>
      </x:c>
      <x:c r="T189" s="142"/>
    </x:row>
    <x:row r="190" ht="19" customHeight="1">
      <x:c r="A190" s="142"/>
      <x:c r="B190" s="142"/>
      <x:c r="C190" s="142"/>
      <x:c r="D190" s="142"/>
      <x:c r="E190" s="142"/>
      <x:c r="F190" s="142"/>
      <x:c r="G190" s="142"/>
      <x:c r="H190" s="142"/>
      <x:c r="I190" s="142"/>
      <x:c r="J190" s="142"/>
      <x:c r="K190" s="142"/>
      <x:c r="L190" s="208"/>
      <x:c r="M190" s="208"/>
      <x:c r="N190" s="142"/>
      <x:c r="O190" s="142"/>
      <x:c r="P190" s="142"/>
      <x:c r="Q190" s="208"/>
      <x:c r="R190" s="208"/>
      <x:c r="S190" s="202" t="str">
        <x:f>IF(A190="","",IF(COUNTIF(F190:J190,"Sim")=5,"PRONTO","PENDENTE"))</x:f>
      </x:c>
      <x:c r="T190" s="142"/>
    </x:row>
    <x:row r="191" ht="19" customHeight="1">
      <x:c r="A191" s="142"/>
      <x:c r="B191" s="142"/>
      <x:c r="C191" s="142"/>
      <x:c r="D191" s="142"/>
      <x:c r="E191" s="142"/>
      <x:c r="F191" s="142"/>
      <x:c r="G191" s="142"/>
      <x:c r="H191" s="142"/>
      <x:c r="I191" s="142"/>
      <x:c r="J191" s="142"/>
      <x:c r="K191" s="142"/>
      <x:c r="L191" s="208"/>
      <x:c r="M191" s="208"/>
      <x:c r="N191" s="142"/>
      <x:c r="O191" s="142"/>
      <x:c r="P191" s="142"/>
      <x:c r="Q191" s="208"/>
      <x:c r="R191" s="208"/>
      <x:c r="S191" s="202" t="str">
        <x:f>IF(A191="","",IF(COUNTIF(F191:J191,"Sim")=5,"PRONTO","PENDENTE"))</x:f>
      </x:c>
      <x:c r="T191" s="142"/>
    </x:row>
    <x:row r="192" ht="19" customHeight="1">
      <x:c r="A192" s="142"/>
      <x:c r="B192" s="142"/>
      <x:c r="C192" s="142"/>
      <x:c r="D192" s="142"/>
      <x:c r="E192" s="142"/>
      <x:c r="F192" s="142"/>
      <x:c r="G192" s="142"/>
      <x:c r="H192" s="142"/>
      <x:c r="I192" s="142"/>
      <x:c r="J192" s="142"/>
      <x:c r="K192" s="142"/>
      <x:c r="L192" s="208"/>
      <x:c r="M192" s="208"/>
      <x:c r="N192" s="142"/>
      <x:c r="O192" s="142"/>
      <x:c r="P192" s="142"/>
      <x:c r="Q192" s="208"/>
      <x:c r="R192" s="208"/>
      <x:c r="S192" s="202" t="str">
        <x:f>IF(A192="","",IF(COUNTIF(F192:J192,"Sim")=5,"PRONTO","PENDENTE"))</x:f>
      </x:c>
      <x:c r="T192" s="142"/>
    </x:row>
    <x:row r="193" ht="19" customHeight="1">
      <x:c r="A193" s="142"/>
      <x:c r="B193" s="142"/>
      <x:c r="C193" s="142"/>
      <x:c r="D193" s="142"/>
      <x:c r="E193" s="142"/>
      <x:c r="F193" s="142"/>
      <x:c r="G193" s="142"/>
      <x:c r="H193" s="142"/>
      <x:c r="I193" s="142"/>
      <x:c r="J193" s="142"/>
      <x:c r="K193" s="142"/>
      <x:c r="L193" s="208"/>
      <x:c r="M193" s="208"/>
      <x:c r="N193" s="142"/>
      <x:c r="O193" s="142"/>
      <x:c r="P193" s="142"/>
      <x:c r="Q193" s="208"/>
      <x:c r="R193" s="208"/>
      <x:c r="S193" s="202" t="str">
        <x:f>IF(A193="","",IF(COUNTIF(F193:J193,"Sim")=5,"PRONTO","PENDENTE"))</x:f>
      </x:c>
      <x:c r="T193" s="142"/>
    </x:row>
    <x:row r="194" ht="19" customHeight="1">
      <x:c r="A194" s="142"/>
      <x:c r="B194" s="142"/>
      <x:c r="C194" s="142"/>
      <x:c r="D194" s="142"/>
      <x:c r="E194" s="142"/>
      <x:c r="F194" s="142"/>
      <x:c r="G194" s="142"/>
      <x:c r="H194" s="142"/>
      <x:c r="I194" s="142"/>
      <x:c r="J194" s="142"/>
      <x:c r="K194" s="142"/>
      <x:c r="L194" s="208"/>
      <x:c r="M194" s="208"/>
      <x:c r="N194" s="142"/>
      <x:c r="O194" s="142"/>
      <x:c r="P194" s="142"/>
      <x:c r="Q194" s="208"/>
      <x:c r="R194" s="208"/>
      <x:c r="S194" s="202" t="str">
        <x:f>IF(A194="","",IF(COUNTIF(F194:J194,"Sim")=5,"PRONTO","PENDENTE"))</x:f>
      </x:c>
      <x:c r="T194" s="142"/>
    </x:row>
    <x:row r="195" ht="19" customHeight="1">
      <x:c r="A195" s="142"/>
      <x:c r="B195" s="142"/>
      <x:c r="C195" s="142"/>
      <x:c r="D195" s="142"/>
      <x:c r="E195" s="142"/>
      <x:c r="F195" s="142"/>
      <x:c r="G195" s="142"/>
      <x:c r="H195" s="142"/>
      <x:c r="I195" s="142"/>
      <x:c r="J195" s="142"/>
      <x:c r="K195" s="142"/>
      <x:c r="L195" s="208"/>
      <x:c r="M195" s="208"/>
      <x:c r="N195" s="142"/>
      <x:c r="O195" s="142"/>
      <x:c r="P195" s="142"/>
      <x:c r="Q195" s="208"/>
      <x:c r="R195" s="208"/>
      <x:c r="S195" s="202" t="str">
        <x:f>IF(A195="","",IF(COUNTIF(F195:J195,"Sim")=5,"PRONTO","PENDENTE"))</x:f>
      </x:c>
      <x:c r="T195" s="142"/>
    </x:row>
    <x:row r="196" ht="19" customHeight="1">
      <x:c r="A196" s="142"/>
      <x:c r="B196" s="142"/>
      <x:c r="C196" s="142"/>
      <x:c r="D196" s="142"/>
      <x:c r="E196" s="142"/>
      <x:c r="F196" s="142"/>
      <x:c r="G196" s="142"/>
      <x:c r="H196" s="142"/>
      <x:c r="I196" s="142"/>
      <x:c r="J196" s="142"/>
      <x:c r="K196" s="142"/>
      <x:c r="L196" s="208"/>
      <x:c r="M196" s="208"/>
      <x:c r="N196" s="142"/>
      <x:c r="O196" s="142"/>
      <x:c r="P196" s="142"/>
      <x:c r="Q196" s="208"/>
      <x:c r="R196" s="208"/>
      <x:c r="S196" s="202" t="str">
        <x:f>IF(A196="","",IF(COUNTIF(F196:J196,"Sim")=5,"PRONTO","PENDENTE"))</x:f>
      </x:c>
      <x:c r="T196" s="142"/>
    </x:row>
    <x:row r="197" ht="19" customHeight="1">
      <x:c r="A197" s="142"/>
      <x:c r="B197" s="142"/>
      <x:c r="C197" s="142"/>
      <x:c r="D197" s="142"/>
      <x:c r="E197" s="142"/>
      <x:c r="F197" s="142"/>
      <x:c r="G197" s="142"/>
      <x:c r="H197" s="142"/>
      <x:c r="I197" s="142"/>
      <x:c r="J197" s="142"/>
      <x:c r="K197" s="142"/>
      <x:c r="L197" s="208"/>
      <x:c r="M197" s="208"/>
      <x:c r="N197" s="142"/>
      <x:c r="O197" s="142"/>
      <x:c r="P197" s="142"/>
      <x:c r="Q197" s="208"/>
      <x:c r="R197" s="208"/>
      <x:c r="S197" s="202" t="str">
        <x:f>IF(A197="","",IF(COUNTIF(F197:J197,"Sim")=5,"PRONTO","PENDENTE"))</x:f>
      </x:c>
      <x:c r="T197" s="142"/>
    </x:row>
    <x:row r="198" ht="19" customHeight="1">
      <x:c r="A198" s="142"/>
      <x:c r="B198" s="142"/>
      <x:c r="C198" s="142"/>
      <x:c r="D198" s="142"/>
      <x:c r="E198" s="142"/>
      <x:c r="F198" s="142"/>
      <x:c r="G198" s="142"/>
      <x:c r="H198" s="142"/>
      <x:c r="I198" s="142"/>
      <x:c r="J198" s="142"/>
      <x:c r="K198" s="142"/>
      <x:c r="L198" s="208"/>
      <x:c r="M198" s="208"/>
      <x:c r="N198" s="142"/>
      <x:c r="O198" s="142"/>
      <x:c r="P198" s="142"/>
      <x:c r="Q198" s="208"/>
      <x:c r="R198" s="208"/>
      <x:c r="S198" s="202" t="str">
        <x:f>IF(A198="","",IF(COUNTIF(F198:J198,"Sim")=5,"PRONTO","PENDENTE"))</x:f>
      </x:c>
      <x:c r="T198" s="142"/>
    </x:row>
    <x:row r="199" ht="19" customHeight="1">
      <x:c r="A199" s="142"/>
      <x:c r="B199" s="142"/>
      <x:c r="C199" s="142"/>
      <x:c r="D199" s="142"/>
      <x:c r="E199" s="142"/>
      <x:c r="F199" s="142"/>
      <x:c r="G199" s="142"/>
      <x:c r="H199" s="142"/>
      <x:c r="I199" s="142"/>
      <x:c r="J199" s="142"/>
      <x:c r="K199" s="142"/>
      <x:c r="L199" s="208"/>
      <x:c r="M199" s="208"/>
      <x:c r="N199" s="142"/>
      <x:c r="O199" s="142"/>
      <x:c r="P199" s="142"/>
      <x:c r="Q199" s="208"/>
      <x:c r="R199" s="208"/>
      <x:c r="S199" s="202" t="str">
        <x:f>IF(A199="","",IF(COUNTIF(F199:J199,"Sim")=5,"PRONTO","PENDENTE"))</x:f>
      </x:c>
      <x:c r="T199" s="142"/>
    </x:row>
    <x:row r="200" ht="19" customHeight="1">
      <x:c r="A200" s="142"/>
      <x:c r="B200" s="142"/>
      <x:c r="C200" s="142"/>
      <x:c r="D200" s="142"/>
      <x:c r="E200" s="142"/>
      <x:c r="F200" s="142"/>
      <x:c r="G200" s="142"/>
      <x:c r="H200" s="142"/>
      <x:c r="I200" s="142"/>
      <x:c r="J200" s="142"/>
      <x:c r="K200" s="142"/>
      <x:c r="L200" s="208"/>
      <x:c r="M200" s="208"/>
      <x:c r="N200" s="142"/>
      <x:c r="O200" s="142"/>
      <x:c r="P200" s="142"/>
      <x:c r="Q200" s="208"/>
      <x:c r="R200" s="208"/>
      <x:c r="S200" s="202" t="str">
        <x:f>IF(A200="","",IF(COUNTIF(F200:J200,"Sim")=5,"PRONTO","PENDENTE"))</x:f>
      </x:c>
      <x:c r="T200" s="142"/>
    </x:row>
    <x:row r="201" ht="19" customHeight="1">
      <x:c r="A201" s="142"/>
      <x:c r="B201" s="142"/>
      <x:c r="C201" s="142"/>
      <x:c r="D201" s="142"/>
      <x:c r="E201" s="142"/>
      <x:c r="F201" s="142"/>
      <x:c r="G201" s="142"/>
      <x:c r="H201" s="142"/>
      <x:c r="I201" s="142"/>
      <x:c r="J201" s="142"/>
      <x:c r="K201" s="142"/>
      <x:c r="L201" s="208"/>
      <x:c r="M201" s="208"/>
      <x:c r="N201" s="142"/>
      <x:c r="O201" s="142"/>
      <x:c r="P201" s="142"/>
      <x:c r="Q201" s="208"/>
      <x:c r="R201" s="208"/>
      <x:c r="S201" s="202" t="str">
        <x:f>IF(A201="","",IF(COUNTIF(F201:J201,"Sim")=5,"PRONTO","PENDENTE"))</x:f>
      </x:c>
      <x:c r="T201" s="142"/>
    </x:row>
    <x:row r="202" ht="19" customHeight="1">
      <x:c r="A202" s="142"/>
      <x:c r="B202" s="142"/>
      <x:c r="C202" s="142"/>
      <x:c r="D202" s="142"/>
      <x:c r="E202" s="142"/>
      <x:c r="F202" s="142"/>
      <x:c r="G202" s="142"/>
      <x:c r="H202" s="142"/>
      <x:c r="I202" s="142"/>
      <x:c r="J202" s="142"/>
      <x:c r="K202" s="142"/>
      <x:c r="L202" s="208"/>
      <x:c r="M202" s="208"/>
      <x:c r="N202" s="142"/>
      <x:c r="O202" s="142"/>
      <x:c r="P202" s="142"/>
      <x:c r="Q202" s="208"/>
      <x:c r="R202" s="208"/>
      <x:c r="S202" s="202" t="str">
        <x:f>IF(A202="","",IF(COUNTIF(F202:J202,"Sim")=5,"PRONTO","PENDENTE"))</x:f>
      </x:c>
      <x:c r="T202" s="142"/>
    </x:row>
    <x:row r="203" ht="19" customHeight="1">
      <x:c r="A203" s="142"/>
      <x:c r="B203" s="142"/>
      <x:c r="C203" s="142"/>
      <x:c r="D203" s="142"/>
      <x:c r="E203" s="142"/>
      <x:c r="F203" s="142"/>
      <x:c r="G203" s="142"/>
      <x:c r="H203" s="142"/>
      <x:c r="I203" s="142"/>
      <x:c r="J203" s="142"/>
      <x:c r="K203" s="142"/>
      <x:c r="L203" s="208"/>
      <x:c r="M203" s="208"/>
      <x:c r="N203" s="142"/>
      <x:c r="O203" s="142"/>
      <x:c r="P203" s="142"/>
      <x:c r="Q203" s="208"/>
      <x:c r="R203" s="208"/>
      <x:c r="S203" s="202" t="str">
        <x:f>IF(A203="","",IF(COUNTIF(F203:J203,"Sim")=5,"PRONTO","PENDENTE"))</x:f>
      </x:c>
      <x:c r="T203" s="142"/>
    </x:row>
    <x:row r="204" ht="19" customHeight="1">
      <x:c r="A204" s="142"/>
      <x:c r="B204" s="142"/>
      <x:c r="C204" s="142"/>
      <x:c r="D204" s="142"/>
      <x:c r="E204" s="142"/>
      <x:c r="F204" s="142"/>
      <x:c r="G204" s="142"/>
      <x:c r="H204" s="142"/>
      <x:c r="I204" s="142"/>
      <x:c r="J204" s="142"/>
      <x:c r="K204" s="142"/>
      <x:c r="L204" s="208"/>
      <x:c r="M204" s="208"/>
      <x:c r="N204" s="142"/>
      <x:c r="O204" s="142"/>
      <x:c r="P204" s="142"/>
      <x:c r="Q204" s="208"/>
      <x:c r="R204" s="208"/>
      <x:c r="S204" s="202" t="str">
        <x:f>IF(A204="","",IF(COUNTIF(F204:J204,"Sim")=5,"PRONTO","PENDENTE"))</x:f>
      </x:c>
      <x:c r="T204" s="142"/>
    </x:row>
    <x:row r="205" ht="19" customHeight="1">
      <x:c r="A205" s="142"/>
      <x:c r="B205" s="142"/>
      <x:c r="C205" s="142"/>
      <x:c r="D205" s="142"/>
      <x:c r="E205" s="142"/>
      <x:c r="F205" s="142"/>
      <x:c r="G205" s="142"/>
      <x:c r="H205" s="142"/>
      <x:c r="I205" s="142"/>
      <x:c r="J205" s="142"/>
      <x:c r="K205" s="142"/>
      <x:c r="L205" s="208"/>
      <x:c r="M205" s="208"/>
      <x:c r="N205" s="142"/>
      <x:c r="O205" s="142"/>
      <x:c r="P205" s="142"/>
      <x:c r="Q205" s="208"/>
      <x:c r="R205" s="208"/>
      <x:c r="S205" s="202" t="str">
        <x:f>IF(A205="","",IF(COUNTIF(F205:J205,"Sim")=5,"PRONTO","PENDENTE"))</x:f>
      </x:c>
      <x:c r="T205" s="142"/>
    </x:row>
    <x:row r="206" ht="19" customHeight="1">
      <x:c r="A206" s="142"/>
      <x:c r="B206" s="142"/>
      <x:c r="C206" s="142"/>
      <x:c r="D206" s="142"/>
      <x:c r="E206" s="142"/>
      <x:c r="F206" s="142"/>
      <x:c r="G206" s="142"/>
      <x:c r="H206" s="142"/>
      <x:c r="I206" s="142"/>
      <x:c r="J206" s="142"/>
      <x:c r="K206" s="142"/>
      <x:c r="L206" s="208"/>
      <x:c r="M206" s="208"/>
      <x:c r="N206" s="142"/>
      <x:c r="O206" s="142"/>
      <x:c r="P206" s="142"/>
      <x:c r="Q206" s="208"/>
      <x:c r="R206" s="208"/>
      <x:c r="S206" s="202" t="str">
        <x:f>IF(A206="","",IF(COUNTIF(F206:J206,"Sim")=5,"PRONTO","PENDENTE"))</x:f>
      </x:c>
      <x:c r="T206" s="142"/>
    </x:row>
    <x:row r="207" ht="19" customHeight="1">
      <x:c r="A207" s="142"/>
      <x:c r="B207" s="142"/>
      <x:c r="C207" s="142"/>
      <x:c r="D207" s="142"/>
      <x:c r="E207" s="142"/>
      <x:c r="F207" s="142"/>
      <x:c r="G207" s="142"/>
      <x:c r="H207" s="142"/>
      <x:c r="I207" s="142"/>
      <x:c r="J207" s="142"/>
      <x:c r="K207" s="142"/>
      <x:c r="L207" s="208"/>
      <x:c r="M207" s="208"/>
      <x:c r="N207" s="142"/>
      <x:c r="O207" s="142"/>
      <x:c r="P207" s="142"/>
      <x:c r="Q207" s="208"/>
      <x:c r="R207" s="208"/>
      <x:c r="S207" s="202" t="str">
        <x:f>IF(A207="","",IF(COUNTIF(F207:J207,"Sim")=5,"PRONTO","PENDENTE"))</x:f>
      </x:c>
      <x:c r="T207" s="142"/>
    </x:row>
    <x:row r="208" ht="19" customHeight="1">
      <x:c r="A208" s="142"/>
      <x:c r="B208" s="142"/>
      <x:c r="C208" s="142"/>
      <x:c r="D208" s="142"/>
      <x:c r="E208" s="142"/>
      <x:c r="F208" s="142"/>
      <x:c r="G208" s="142"/>
      <x:c r="H208" s="142"/>
      <x:c r="I208" s="142"/>
      <x:c r="J208" s="142"/>
      <x:c r="K208" s="142"/>
      <x:c r="L208" s="208"/>
      <x:c r="M208" s="208"/>
      <x:c r="N208" s="142"/>
      <x:c r="O208" s="142"/>
      <x:c r="P208" s="142"/>
      <x:c r="Q208" s="208"/>
      <x:c r="R208" s="208"/>
      <x:c r="S208" s="202" t="str">
        <x:f>IF(A208="","",IF(COUNTIF(F208:J208,"Sim")=5,"PRONTO","PENDENTE"))</x:f>
      </x:c>
      <x:c r="T208" s="142"/>
    </x:row>
    <x:row r="209" ht="19" customHeight="1">
      <x:c r="A209" s="142"/>
      <x:c r="B209" s="142"/>
      <x:c r="C209" s="142"/>
      <x:c r="D209" s="142"/>
      <x:c r="E209" s="142"/>
      <x:c r="F209" s="142"/>
      <x:c r="G209" s="142"/>
      <x:c r="H209" s="142"/>
      <x:c r="I209" s="142"/>
      <x:c r="J209" s="142"/>
      <x:c r="K209" s="142"/>
      <x:c r="L209" s="208"/>
      <x:c r="M209" s="208"/>
      <x:c r="N209" s="142"/>
      <x:c r="O209" s="142"/>
      <x:c r="P209" s="142"/>
      <x:c r="Q209" s="208"/>
      <x:c r="R209" s="208"/>
      <x:c r="S209" s="202" t="str">
        <x:f>IF(A209="","",IF(COUNTIF(F209:J209,"Sim")=5,"PRONTO","PENDENTE"))</x:f>
      </x:c>
      <x:c r="T209" s="142"/>
    </x:row>
    <x:row r="210" ht="19" customHeight="1">
      <x:c r="A210" s="142"/>
      <x:c r="B210" s="142"/>
      <x:c r="C210" s="142"/>
      <x:c r="D210" s="142"/>
      <x:c r="E210" s="142"/>
      <x:c r="F210" s="142"/>
      <x:c r="G210" s="142"/>
      <x:c r="H210" s="142"/>
      <x:c r="I210" s="142"/>
      <x:c r="J210" s="142"/>
      <x:c r="K210" s="142"/>
      <x:c r="L210" s="208"/>
      <x:c r="M210" s="208"/>
      <x:c r="N210" s="142"/>
      <x:c r="O210" s="142"/>
      <x:c r="P210" s="142"/>
      <x:c r="Q210" s="208"/>
      <x:c r="R210" s="208"/>
      <x:c r="S210" s="202" t="str">
        <x:f>IF(A210="","",IF(COUNTIF(F210:J210,"Sim")=5,"PRONTO","PENDENTE"))</x:f>
      </x:c>
      <x:c r="T210" s="142"/>
    </x:row>
    <x:row r="211" ht="19" customHeight="1">
      <x:c r="A211" s="142"/>
      <x:c r="B211" s="142"/>
      <x:c r="C211" s="142"/>
      <x:c r="D211" s="142"/>
      <x:c r="E211" s="142"/>
      <x:c r="F211" s="142"/>
      <x:c r="G211" s="142"/>
      <x:c r="H211" s="142"/>
      <x:c r="I211" s="142"/>
      <x:c r="J211" s="142"/>
      <x:c r="K211" s="142"/>
      <x:c r="L211" s="208"/>
      <x:c r="M211" s="208"/>
      <x:c r="N211" s="142"/>
      <x:c r="O211" s="142"/>
      <x:c r="P211" s="142"/>
      <x:c r="Q211" s="208"/>
      <x:c r="R211" s="208"/>
      <x:c r="S211" s="202" t="str">
        <x:f>IF(A211="","",IF(COUNTIF(F211:J211,"Sim")=5,"PRONTO","PENDENTE"))</x:f>
      </x:c>
      <x:c r="T211" s="142"/>
    </x:row>
    <x:row r="212" ht="19" customHeight="1">
      <x:c r="A212" s="142"/>
      <x:c r="B212" s="142"/>
      <x:c r="C212" s="142"/>
      <x:c r="D212" s="142"/>
      <x:c r="E212" s="142"/>
      <x:c r="F212" s="142"/>
      <x:c r="G212" s="142"/>
      <x:c r="H212" s="142"/>
      <x:c r="I212" s="142"/>
      <x:c r="J212" s="142"/>
      <x:c r="K212" s="142"/>
      <x:c r="L212" s="208"/>
      <x:c r="M212" s="208"/>
      <x:c r="N212" s="142"/>
      <x:c r="O212" s="142"/>
      <x:c r="P212" s="142"/>
      <x:c r="Q212" s="208"/>
      <x:c r="R212" s="208"/>
      <x:c r="S212" s="202" t="str">
        <x:f>IF(A212="","",IF(COUNTIF(F212:J212,"Sim")=5,"PRONTO","PENDENTE"))</x:f>
      </x:c>
      <x:c r="T212" s="142"/>
    </x:row>
    <x:row r="213" ht="19" customHeight="1">
      <x:c r="A213" s="142"/>
      <x:c r="B213" s="142"/>
      <x:c r="C213" s="142"/>
      <x:c r="D213" s="142"/>
      <x:c r="E213" s="142"/>
      <x:c r="F213" s="142"/>
      <x:c r="G213" s="142"/>
      <x:c r="H213" s="142"/>
      <x:c r="I213" s="142"/>
      <x:c r="J213" s="142"/>
      <x:c r="K213" s="142"/>
      <x:c r="L213" s="208"/>
      <x:c r="M213" s="208"/>
      <x:c r="N213" s="142"/>
      <x:c r="O213" s="142"/>
      <x:c r="P213" s="142"/>
      <x:c r="Q213" s="208"/>
      <x:c r="R213" s="208"/>
      <x:c r="S213" s="202" t="str">
        <x:f>IF(A213="","",IF(COUNTIF(F213:J213,"Sim")=5,"PRONTO","PENDENTE"))</x:f>
      </x:c>
      <x:c r="T213" s="142"/>
    </x:row>
    <x:row r="214" ht="19" customHeight="1">
      <x:c r="A214" s="142"/>
      <x:c r="B214" s="142"/>
      <x:c r="C214" s="142"/>
      <x:c r="D214" s="142"/>
      <x:c r="E214" s="142"/>
      <x:c r="F214" s="142"/>
      <x:c r="G214" s="142"/>
      <x:c r="H214" s="142"/>
      <x:c r="I214" s="142"/>
      <x:c r="J214" s="142"/>
      <x:c r="K214" s="142"/>
      <x:c r="L214" s="208"/>
      <x:c r="M214" s="208"/>
      <x:c r="N214" s="142"/>
      <x:c r="O214" s="142"/>
      <x:c r="P214" s="142"/>
      <x:c r="Q214" s="208"/>
      <x:c r="R214" s="208"/>
      <x:c r="S214" s="202" t="str">
        <x:f>IF(A214="","",IF(COUNTIF(F214:J214,"Sim")=5,"PRONTO","PENDENTE"))</x:f>
      </x:c>
      <x:c r="T214" s="142"/>
    </x:row>
    <x:row r="215" ht="19" customHeight="1">
      <x:c r="A215" s="142"/>
      <x:c r="B215" s="142"/>
      <x:c r="C215" s="142"/>
      <x:c r="D215" s="142"/>
      <x:c r="E215" s="142"/>
      <x:c r="F215" s="142"/>
      <x:c r="G215" s="142"/>
      <x:c r="H215" s="142"/>
      <x:c r="I215" s="142"/>
      <x:c r="J215" s="142"/>
      <x:c r="K215" s="142"/>
      <x:c r="L215" s="208"/>
      <x:c r="M215" s="208"/>
      <x:c r="N215" s="142"/>
      <x:c r="O215" s="142"/>
      <x:c r="P215" s="142"/>
      <x:c r="Q215" s="208"/>
      <x:c r="R215" s="208"/>
      <x:c r="S215" s="202" t="str">
        <x:f>IF(A215="","",IF(COUNTIF(F215:J215,"Sim")=5,"PRONTO","PENDENTE"))</x:f>
      </x:c>
      <x:c r="T215" s="142"/>
    </x:row>
    <x:row r="216" ht="19" customHeight="1">
      <x:c r="A216" s="142"/>
      <x:c r="B216" s="142"/>
      <x:c r="C216" s="142"/>
      <x:c r="D216" s="142"/>
      <x:c r="E216" s="142"/>
      <x:c r="F216" s="142"/>
      <x:c r="G216" s="142"/>
      <x:c r="H216" s="142"/>
      <x:c r="I216" s="142"/>
      <x:c r="J216" s="142"/>
      <x:c r="K216" s="142"/>
      <x:c r="L216" s="208"/>
      <x:c r="M216" s="208"/>
      <x:c r="N216" s="142"/>
      <x:c r="O216" s="142"/>
      <x:c r="P216" s="142"/>
      <x:c r="Q216" s="208"/>
      <x:c r="R216" s="208"/>
      <x:c r="S216" s="202" t="str">
        <x:f>IF(A216="","",IF(COUNTIF(F216:J216,"Sim")=5,"PRONTO","PENDENTE"))</x:f>
      </x:c>
      <x:c r="T216" s="142"/>
    </x:row>
    <x:row r="217" ht="19" customHeight="1">
      <x:c r="A217" s="142"/>
      <x:c r="B217" s="142"/>
      <x:c r="C217" s="142"/>
      <x:c r="D217" s="142"/>
      <x:c r="E217" s="142"/>
      <x:c r="F217" s="142"/>
      <x:c r="G217" s="142"/>
      <x:c r="H217" s="142"/>
      <x:c r="I217" s="142"/>
      <x:c r="J217" s="142"/>
      <x:c r="K217" s="142"/>
      <x:c r="L217" s="208"/>
      <x:c r="M217" s="208"/>
      <x:c r="N217" s="142"/>
      <x:c r="O217" s="142"/>
      <x:c r="P217" s="142"/>
      <x:c r="Q217" s="208"/>
      <x:c r="R217" s="208"/>
      <x:c r="S217" s="202" t="str">
        <x:f>IF(A217="","",IF(COUNTIF(F217:J217,"Sim")=5,"PRONTO","PENDENTE"))</x:f>
      </x:c>
      <x:c r="T217" s="142"/>
    </x:row>
    <x:row r="218" ht="19" customHeight="1">
      <x:c r="A218" s="142"/>
      <x:c r="B218" s="142"/>
      <x:c r="C218" s="142"/>
      <x:c r="D218" s="142"/>
      <x:c r="E218" s="142"/>
      <x:c r="F218" s="142"/>
      <x:c r="G218" s="142"/>
      <x:c r="H218" s="142"/>
      <x:c r="I218" s="142"/>
      <x:c r="J218" s="142"/>
      <x:c r="K218" s="142"/>
      <x:c r="L218" s="208"/>
      <x:c r="M218" s="208"/>
      <x:c r="N218" s="142"/>
      <x:c r="O218" s="142"/>
      <x:c r="P218" s="142"/>
      <x:c r="Q218" s="208"/>
      <x:c r="R218" s="208"/>
      <x:c r="S218" s="202" t="str">
        <x:f>IF(A218="","",IF(COUNTIF(F218:J218,"Sim")=5,"PRONTO","PENDENTE"))</x:f>
      </x:c>
      <x:c r="T218" s="142"/>
    </x:row>
    <x:row r="219" ht="19" customHeight="1">
      <x:c r="A219" s="142"/>
      <x:c r="B219" s="142"/>
      <x:c r="C219" s="142"/>
      <x:c r="D219" s="142"/>
      <x:c r="E219" s="142"/>
      <x:c r="F219" s="142"/>
      <x:c r="G219" s="142"/>
      <x:c r="H219" s="142"/>
      <x:c r="I219" s="142"/>
      <x:c r="J219" s="142"/>
      <x:c r="K219" s="142"/>
      <x:c r="L219" s="208"/>
      <x:c r="M219" s="208"/>
      <x:c r="N219" s="142"/>
      <x:c r="O219" s="142"/>
      <x:c r="P219" s="142"/>
      <x:c r="Q219" s="208"/>
      <x:c r="R219" s="208"/>
      <x:c r="S219" s="202" t="str">
        <x:f>IF(A219="","",IF(COUNTIF(F219:J219,"Sim")=5,"PRONTO","PENDENTE"))</x:f>
      </x:c>
      <x:c r="T219" s="142"/>
    </x:row>
    <x:row r="220" ht="19" customHeight="1">
      <x:c r="A220" s="142"/>
      <x:c r="B220" s="142"/>
      <x:c r="C220" s="142"/>
      <x:c r="D220" s="142"/>
      <x:c r="E220" s="142"/>
      <x:c r="F220" s="142"/>
      <x:c r="G220" s="142"/>
      <x:c r="H220" s="142"/>
      <x:c r="I220" s="142"/>
      <x:c r="J220" s="142"/>
      <x:c r="K220" s="142"/>
      <x:c r="L220" s="208"/>
      <x:c r="M220" s="208"/>
      <x:c r="N220" s="142"/>
      <x:c r="O220" s="142"/>
      <x:c r="P220" s="142"/>
      <x:c r="Q220" s="208"/>
      <x:c r="R220" s="208"/>
      <x:c r="S220" s="202" t="str">
        <x:f>IF(A220="","",IF(COUNTIF(F220:J220,"Sim")=5,"PRONTO","PENDENTE"))</x:f>
      </x:c>
      <x:c r="T220" s="142"/>
    </x:row>
    <x:row r="221" ht="19" customHeight="1">
      <x:c r="A221" s="142"/>
      <x:c r="B221" s="142"/>
      <x:c r="C221" s="142"/>
      <x:c r="D221" s="142"/>
      <x:c r="E221" s="142"/>
      <x:c r="F221" s="142"/>
      <x:c r="G221" s="142"/>
      <x:c r="H221" s="142"/>
      <x:c r="I221" s="142"/>
      <x:c r="J221" s="142"/>
      <x:c r="K221" s="142"/>
      <x:c r="L221" s="208"/>
      <x:c r="M221" s="208"/>
      <x:c r="N221" s="142"/>
      <x:c r="O221" s="142"/>
      <x:c r="P221" s="142"/>
      <x:c r="Q221" s="208"/>
      <x:c r="R221" s="208"/>
      <x:c r="S221" s="202" t="str">
        <x:f>IF(A221="","",IF(COUNTIF(F221:J221,"Sim")=5,"PRONTO","PENDENTE"))</x:f>
      </x:c>
      <x:c r="T221" s="142"/>
    </x:row>
    <x:row r="222" ht="19" customHeight="1">
      <x:c r="A222" s="142"/>
      <x:c r="B222" s="142"/>
      <x:c r="C222" s="142"/>
      <x:c r="D222" s="142"/>
      <x:c r="E222" s="142"/>
      <x:c r="F222" s="142"/>
      <x:c r="G222" s="142"/>
      <x:c r="H222" s="142"/>
      <x:c r="I222" s="142"/>
      <x:c r="J222" s="142"/>
      <x:c r="K222" s="142"/>
      <x:c r="L222" s="208"/>
      <x:c r="M222" s="208"/>
      <x:c r="N222" s="142"/>
      <x:c r="O222" s="142"/>
      <x:c r="P222" s="142"/>
      <x:c r="Q222" s="208"/>
      <x:c r="R222" s="208"/>
      <x:c r="S222" s="202" t="str">
        <x:f>IF(A222="","",IF(COUNTIF(F222:J222,"Sim")=5,"PRONTO","PENDENTE"))</x:f>
      </x:c>
      <x:c r="T222" s="142"/>
    </x:row>
    <x:row r="223" ht="19" customHeight="1">
      <x:c r="A223" s="142"/>
      <x:c r="B223" s="142"/>
      <x:c r="C223" s="142"/>
      <x:c r="D223" s="142"/>
      <x:c r="E223" s="142"/>
      <x:c r="F223" s="142"/>
      <x:c r="G223" s="142"/>
      <x:c r="H223" s="142"/>
      <x:c r="I223" s="142"/>
      <x:c r="J223" s="142"/>
      <x:c r="K223" s="142"/>
      <x:c r="L223" s="208"/>
      <x:c r="M223" s="208"/>
      <x:c r="N223" s="142"/>
      <x:c r="O223" s="142"/>
      <x:c r="P223" s="142"/>
      <x:c r="Q223" s="208"/>
      <x:c r="R223" s="208"/>
      <x:c r="S223" s="202" t="str">
        <x:f>IF(A223="","",IF(COUNTIF(F223:J223,"Sim")=5,"PRONTO","PENDENTE"))</x:f>
      </x:c>
      <x:c r="T223" s="142"/>
    </x:row>
    <x:row r="224" ht="19" customHeight="1">
      <x:c r="A224" s="142"/>
      <x:c r="B224" s="142"/>
      <x:c r="C224" s="142"/>
      <x:c r="D224" s="142"/>
      <x:c r="E224" s="142"/>
      <x:c r="F224" s="142"/>
      <x:c r="G224" s="142"/>
      <x:c r="H224" s="142"/>
      <x:c r="I224" s="142"/>
      <x:c r="J224" s="142"/>
      <x:c r="K224" s="142"/>
      <x:c r="L224" s="208"/>
      <x:c r="M224" s="208"/>
      <x:c r="N224" s="142"/>
      <x:c r="O224" s="142"/>
      <x:c r="P224" s="142"/>
      <x:c r="Q224" s="208"/>
      <x:c r="R224" s="208"/>
      <x:c r="S224" s="202" t="str">
        <x:f>IF(A224="","",IF(COUNTIF(F224:J224,"Sim")=5,"PRONTO","PENDENTE"))</x:f>
      </x:c>
      <x:c r="T224" s="142"/>
    </x:row>
    <x:row r="225" ht="19" customHeight="1">
      <x:c r="A225" s="142"/>
      <x:c r="B225" s="142"/>
      <x:c r="C225" s="142"/>
      <x:c r="D225" s="142"/>
      <x:c r="E225" s="142"/>
      <x:c r="F225" s="142"/>
      <x:c r="G225" s="142"/>
      <x:c r="H225" s="142"/>
      <x:c r="I225" s="142"/>
      <x:c r="J225" s="142"/>
      <x:c r="K225" s="142"/>
      <x:c r="L225" s="208"/>
      <x:c r="M225" s="208"/>
      <x:c r="N225" s="142"/>
      <x:c r="O225" s="142"/>
      <x:c r="P225" s="142"/>
      <x:c r="Q225" s="208"/>
      <x:c r="R225" s="208"/>
      <x:c r="S225" s="202" t="str">
        <x:f>IF(A225="","",IF(COUNTIF(F225:J225,"Sim")=5,"PRONTO","PENDENTE"))</x:f>
      </x:c>
      <x:c r="T225" s="142"/>
    </x:row>
    <x:row r="226" ht="19" customHeight="1">
      <x:c r="A226" s="142"/>
      <x:c r="B226" s="142"/>
      <x:c r="C226" s="142"/>
      <x:c r="D226" s="142"/>
      <x:c r="E226" s="142"/>
      <x:c r="F226" s="142"/>
      <x:c r="G226" s="142"/>
      <x:c r="H226" s="142"/>
      <x:c r="I226" s="142"/>
      <x:c r="J226" s="142"/>
      <x:c r="K226" s="142"/>
      <x:c r="L226" s="208"/>
      <x:c r="M226" s="208"/>
      <x:c r="N226" s="142"/>
      <x:c r="O226" s="142"/>
      <x:c r="P226" s="142"/>
      <x:c r="Q226" s="208"/>
      <x:c r="R226" s="208"/>
      <x:c r="S226" s="202" t="str">
        <x:f>IF(A226="","",IF(COUNTIF(F226:J226,"Sim")=5,"PRONTO","PENDENTE"))</x:f>
      </x:c>
      <x:c r="T226" s="142"/>
    </x:row>
    <x:row r="227" ht="19" customHeight="1">
      <x:c r="A227" s="142"/>
      <x:c r="B227" s="142"/>
      <x:c r="C227" s="142"/>
      <x:c r="D227" s="142"/>
      <x:c r="E227" s="142"/>
      <x:c r="F227" s="142"/>
      <x:c r="G227" s="142"/>
      <x:c r="H227" s="142"/>
      <x:c r="I227" s="142"/>
      <x:c r="J227" s="142"/>
      <x:c r="K227" s="142"/>
      <x:c r="L227" s="208"/>
      <x:c r="M227" s="208"/>
      <x:c r="N227" s="142"/>
      <x:c r="O227" s="142"/>
      <x:c r="P227" s="142"/>
      <x:c r="Q227" s="208"/>
      <x:c r="R227" s="208"/>
      <x:c r="S227" s="202" t="str">
        <x:f>IF(A227="","",IF(COUNTIF(F227:J227,"Sim")=5,"PRONTO","PENDENTE"))</x:f>
      </x:c>
      <x:c r="T227" s="142"/>
    </x:row>
    <x:row r="228" ht="19" customHeight="1">
      <x:c r="A228" s="142"/>
      <x:c r="B228" s="142"/>
      <x:c r="C228" s="142"/>
      <x:c r="D228" s="142"/>
      <x:c r="E228" s="142"/>
      <x:c r="F228" s="142"/>
      <x:c r="G228" s="142"/>
      <x:c r="H228" s="142"/>
      <x:c r="I228" s="142"/>
      <x:c r="J228" s="142"/>
      <x:c r="K228" s="142"/>
      <x:c r="L228" s="208"/>
      <x:c r="M228" s="208"/>
      <x:c r="N228" s="142"/>
      <x:c r="O228" s="142"/>
      <x:c r="P228" s="142"/>
      <x:c r="Q228" s="208"/>
      <x:c r="R228" s="208"/>
      <x:c r="S228" s="202" t="str">
        <x:f>IF(A228="","",IF(COUNTIF(F228:J228,"Sim")=5,"PRONTO","PENDENTE"))</x:f>
      </x:c>
      <x:c r="T228" s="142"/>
    </x:row>
    <x:row r="229" ht="19" customHeight="1">
      <x:c r="A229" s="142"/>
      <x:c r="B229" s="142"/>
      <x:c r="C229" s="142"/>
      <x:c r="D229" s="142"/>
      <x:c r="E229" s="142"/>
      <x:c r="F229" s="142"/>
      <x:c r="G229" s="142"/>
      <x:c r="H229" s="142"/>
      <x:c r="I229" s="142"/>
      <x:c r="J229" s="142"/>
      <x:c r="K229" s="142"/>
      <x:c r="L229" s="208"/>
      <x:c r="M229" s="208"/>
      <x:c r="N229" s="142"/>
      <x:c r="O229" s="142"/>
      <x:c r="P229" s="142"/>
      <x:c r="Q229" s="208"/>
      <x:c r="R229" s="208"/>
      <x:c r="S229" s="202" t="str">
        <x:f>IF(A229="","",IF(COUNTIF(F229:J229,"Sim")=5,"PRONTO","PENDENTE"))</x:f>
      </x:c>
      <x:c r="T229" s="142"/>
    </x:row>
    <x:row r="230" ht="19" customHeight="1">
      <x:c r="A230" s="142"/>
      <x:c r="B230" s="142"/>
      <x:c r="C230" s="142"/>
      <x:c r="D230" s="142"/>
      <x:c r="E230" s="142"/>
      <x:c r="F230" s="142"/>
      <x:c r="G230" s="142"/>
      <x:c r="H230" s="142"/>
      <x:c r="I230" s="142"/>
      <x:c r="J230" s="142"/>
      <x:c r="K230" s="142"/>
      <x:c r="L230" s="208"/>
      <x:c r="M230" s="208"/>
      <x:c r="N230" s="142"/>
      <x:c r="O230" s="142"/>
      <x:c r="P230" s="142"/>
      <x:c r="Q230" s="208"/>
      <x:c r="R230" s="208"/>
      <x:c r="S230" s="202" t="str">
        <x:f>IF(A230="","",IF(COUNTIF(F230:J230,"Sim")=5,"PRONTO","PENDENTE"))</x:f>
      </x:c>
      <x:c r="T230" s="142"/>
    </x:row>
    <x:row r="231" ht="19" customHeight="1">
      <x:c r="A231" s="142"/>
      <x:c r="B231" s="142"/>
      <x:c r="C231" s="142"/>
      <x:c r="D231" s="142"/>
      <x:c r="E231" s="142"/>
      <x:c r="F231" s="142"/>
      <x:c r="G231" s="142"/>
      <x:c r="H231" s="142"/>
      <x:c r="I231" s="142"/>
      <x:c r="J231" s="142"/>
      <x:c r="K231" s="142"/>
      <x:c r="L231" s="208"/>
      <x:c r="M231" s="208"/>
      <x:c r="N231" s="142"/>
      <x:c r="O231" s="142"/>
      <x:c r="P231" s="142"/>
      <x:c r="Q231" s="208"/>
      <x:c r="R231" s="208"/>
      <x:c r="S231" s="202" t="str">
        <x:f>IF(A231="","",IF(COUNTIF(F231:J231,"Sim")=5,"PRONTO","PENDENTE"))</x:f>
      </x:c>
      <x:c r="T231" s="142"/>
    </x:row>
    <x:row r="232" ht="19" customHeight="1">
      <x:c r="A232" s="142"/>
      <x:c r="B232" s="142"/>
      <x:c r="C232" s="142"/>
      <x:c r="D232" s="142"/>
      <x:c r="E232" s="142"/>
      <x:c r="F232" s="142"/>
      <x:c r="G232" s="142"/>
      <x:c r="H232" s="142"/>
      <x:c r="I232" s="142"/>
      <x:c r="J232" s="142"/>
      <x:c r="K232" s="142"/>
      <x:c r="L232" s="208"/>
      <x:c r="M232" s="208"/>
      <x:c r="N232" s="142"/>
      <x:c r="O232" s="142"/>
      <x:c r="P232" s="142"/>
      <x:c r="Q232" s="208"/>
      <x:c r="R232" s="208"/>
      <x:c r="S232" s="202" t="str">
        <x:f>IF(A232="","",IF(COUNTIF(F232:J232,"Sim")=5,"PRONTO","PENDENTE"))</x:f>
      </x:c>
      <x:c r="T232" s="142"/>
    </x:row>
    <x:row r="233" ht="19" customHeight="1">
      <x:c r="A233" s="142"/>
      <x:c r="B233" s="142"/>
      <x:c r="C233" s="142"/>
      <x:c r="D233" s="142"/>
      <x:c r="E233" s="142"/>
      <x:c r="F233" s="142"/>
      <x:c r="G233" s="142"/>
      <x:c r="H233" s="142"/>
      <x:c r="I233" s="142"/>
      <x:c r="J233" s="142"/>
      <x:c r="K233" s="142"/>
      <x:c r="L233" s="208"/>
      <x:c r="M233" s="208"/>
      <x:c r="N233" s="142"/>
      <x:c r="O233" s="142"/>
      <x:c r="P233" s="142"/>
      <x:c r="Q233" s="208"/>
      <x:c r="R233" s="208"/>
      <x:c r="S233" s="202" t="str">
        <x:f>IF(A233="","",IF(COUNTIF(F233:J233,"Sim")=5,"PRONTO","PENDENTE"))</x:f>
      </x:c>
      <x:c r="T233" s="142"/>
    </x:row>
    <x:row r="234" ht="19" customHeight="1">
      <x:c r="A234" s="142"/>
      <x:c r="B234" s="142"/>
      <x:c r="C234" s="142"/>
      <x:c r="D234" s="142"/>
      <x:c r="E234" s="142"/>
      <x:c r="F234" s="142"/>
      <x:c r="G234" s="142"/>
      <x:c r="H234" s="142"/>
      <x:c r="I234" s="142"/>
      <x:c r="J234" s="142"/>
      <x:c r="K234" s="142"/>
      <x:c r="L234" s="208"/>
      <x:c r="M234" s="208"/>
      <x:c r="N234" s="142"/>
      <x:c r="O234" s="142"/>
      <x:c r="P234" s="142"/>
      <x:c r="Q234" s="208"/>
      <x:c r="R234" s="208"/>
      <x:c r="S234" s="202" t="str">
        <x:f>IF(A234="","",IF(COUNTIF(F234:J234,"Sim")=5,"PRONTO","PENDENTE"))</x:f>
      </x:c>
      <x:c r="T234" s="142"/>
    </x:row>
    <x:row r="235" ht="19" customHeight="1">
      <x:c r="A235" s="142"/>
      <x:c r="B235" s="142"/>
      <x:c r="C235" s="142"/>
      <x:c r="D235" s="142"/>
      <x:c r="E235" s="142"/>
      <x:c r="F235" s="142"/>
      <x:c r="G235" s="142"/>
      <x:c r="H235" s="142"/>
      <x:c r="I235" s="142"/>
      <x:c r="J235" s="142"/>
      <x:c r="K235" s="142"/>
      <x:c r="L235" s="208"/>
      <x:c r="M235" s="208"/>
      <x:c r="N235" s="142"/>
      <x:c r="O235" s="142"/>
      <x:c r="P235" s="142"/>
      <x:c r="Q235" s="208"/>
      <x:c r="R235" s="208"/>
      <x:c r="S235" s="202" t="str">
        <x:f>IF(A235="","",IF(COUNTIF(F235:J235,"Sim")=5,"PRONTO","PENDENTE"))</x:f>
      </x:c>
      <x:c r="T235" s="142"/>
    </x:row>
    <x:row r="236" ht="19" customHeight="1">
      <x:c r="A236" s="142"/>
      <x:c r="B236" s="142"/>
      <x:c r="C236" s="142"/>
      <x:c r="D236" s="142"/>
      <x:c r="E236" s="142"/>
      <x:c r="F236" s="142"/>
      <x:c r="G236" s="142"/>
      <x:c r="H236" s="142"/>
      <x:c r="I236" s="142"/>
      <x:c r="J236" s="142"/>
      <x:c r="K236" s="142"/>
      <x:c r="L236" s="208"/>
      <x:c r="M236" s="208"/>
      <x:c r="N236" s="142"/>
      <x:c r="O236" s="142"/>
      <x:c r="P236" s="142"/>
      <x:c r="Q236" s="208"/>
      <x:c r="R236" s="208"/>
      <x:c r="S236" s="202" t="str">
        <x:f>IF(A236="","",IF(COUNTIF(F236:J236,"Sim")=5,"PRONTO","PENDENTE"))</x:f>
      </x:c>
      <x:c r="T236" s="142"/>
    </x:row>
    <x:row r="237" ht="19" customHeight="1">
      <x:c r="A237" s="142"/>
      <x:c r="B237" s="142"/>
      <x:c r="C237" s="142"/>
      <x:c r="D237" s="142"/>
      <x:c r="E237" s="142"/>
      <x:c r="F237" s="142"/>
      <x:c r="G237" s="142"/>
      <x:c r="H237" s="142"/>
      <x:c r="I237" s="142"/>
      <x:c r="J237" s="142"/>
      <x:c r="K237" s="142"/>
      <x:c r="L237" s="208"/>
      <x:c r="M237" s="208"/>
      <x:c r="N237" s="142"/>
      <x:c r="O237" s="142"/>
      <x:c r="P237" s="142"/>
      <x:c r="Q237" s="208"/>
      <x:c r="R237" s="208"/>
      <x:c r="S237" s="202" t="str">
        <x:f>IF(A237="","",IF(COUNTIF(F237:J237,"Sim")=5,"PRONTO","PENDENTE"))</x:f>
      </x:c>
      <x:c r="T237" s="142"/>
    </x:row>
    <x:row r="238" ht="19" customHeight="1">
      <x:c r="A238" s="142"/>
      <x:c r="B238" s="142"/>
      <x:c r="C238" s="142"/>
      <x:c r="D238" s="142"/>
      <x:c r="E238" s="142"/>
      <x:c r="F238" s="142"/>
      <x:c r="G238" s="142"/>
      <x:c r="H238" s="142"/>
      <x:c r="I238" s="142"/>
      <x:c r="J238" s="142"/>
      <x:c r="K238" s="142"/>
      <x:c r="L238" s="208"/>
      <x:c r="M238" s="208"/>
      <x:c r="N238" s="142"/>
      <x:c r="O238" s="142"/>
      <x:c r="P238" s="142"/>
      <x:c r="Q238" s="208"/>
      <x:c r="R238" s="208"/>
      <x:c r="S238" s="202" t="str">
        <x:f>IF(A238="","",IF(COUNTIF(F238:J238,"Sim")=5,"PRONTO","PENDENTE"))</x:f>
      </x:c>
      <x:c r="T238" s="142"/>
    </x:row>
    <x:row r="239" ht="19" customHeight="1">
      <x:c r="A239" s="142"/>
      <x:c r="B239" s="142"/>
      <x:c r="C239" s="142"/>
      <x:c r="D239" s="142"/>
      <x:c r="E239" s="142"/>
      <x:c r="F239" s="142"/>
      <x:c r="G239" s="142"/>
      <x:c r="H239" s="142"/>
      <x:c r="I239" s="142"/>
      <x:c r="J239" s="142"/>
      <x:c r="K239" s="142"/>
      <x:c r="L239" s="208"/>
      <x:c r="M239" s="208"/>
      <x:c r="N239" s="142"/>
      <x:c r="O239" s="142"/>
      <x:c r="P239" s="142"/>
      <x:c r="Q239" s="208"/>
      <x:c r="R239" s="208"/>
      <x:c r="S239" s="202" t="str">
        <x:f>IF(A239="","",IF(COUNTIF(F239:J239,"Sim")=5,"PRONTO","PENDENTE"))</x:f>
      </x:c>
      <x:c r="T239" s="142"/>
    </x:row>
    <x:row r="240" ht="19" customHeight="1">
      <x:c r="A240" s="142"/>
      <x:c r="B240" s="142"/>
      <x:c r="C240" s="142"/>
      <x:c r="D240" s="142"/>
      <x:c r="E240" s="142"/>
      <x:c r="F240" s="142"/>
      <x:c r="G240" s="142"/>
      <x:c r="H240" s="142"/>
      <x:c r="I240" s="142"/>
      <x:c r="J240" s="142"/>
      <x:c r="K240" s="142"/>
      <x:c r="L240" s="208"/>
      <x:c r="M240" s="208"/>
      <x:c r="N240" s="142"/>
      <x:c r="O240" s="142"/>
      <x:c r="P240" s="142"/>
      <x:c r="Q240" s="208"/>
      <x:c r="R240" s="208"/>
      <x:c r="S240" s="202" t="str">
        <x:f>IF(A240="","",IF(COUNTIF(F240:J240,"Sim")=5,"PRONTO","PENDENTE"))</x:f>
      </x:c>
      <x:c r="T240" s="142"/>
    </x:row>
    <x:row r="241" ht="19" customHeight="1">
      <x:c r="A241" s="142"/>
      <x:c r="B241" s="142"/>
      <x:c r="C241" s="142"/>
      <x:c r="D241" s="142"/>
      <x:c r="E241" s="142"/>
      <x:c r="F241" s="142"/>
      <x:c r="G241" s="142"/>
      <x:c r="H241" s="142"/>
      <x:c r="I241" s="142"/>
      <x:c r="J241" s="142"/>
      <x:c r="K241" s="142"/>
      <x:c r="L241" s="208"/>
      <x:c r="M241" s="208"/>
      <x:c r="N241" s="142"/>
      <x:c r="O241" s="142"/>
      <x:c r="P241" s="142"/>
      <x:c r="Q241" s="208"/>
      <x:c r="R241" s="208"/>
      <x:c r="S241" s="202" t="str">
        <x:f>IF(A241="","",IF(COUNTIF(F241:J241,"Sim")=5,"PRONTO","PENDENTE"))</x:f>
      </x:c>
      <x:c r="T241" s="142"/>
    </x:row>
    <x:row r="242" ht="19" customHeight="1">
      <x:c r="A242" s="142"/>
      <x:c r="B242" s="142"/>
      <x:c r="C242" s="142"/>
      <x:c r="D242" s="142"/>
      <x:c r="E242" s="142"/>
      <x:c r="F242" s="142"/>
      <x:c r="G242" s="142"/>
      <x:c r="H242" s="142"/>
      <x:c r="I242" s="142"/>
      <x:c r="J242" s="142"/>
      <x:c r="K242" s="142"/>
      <x:c r="L242" s="208"/>
      <x:c r="M242" s="208"/>
      <x:c r="N242" s="142"/>
      <x:c r="O242" s="142"/>
      <x:c r="P242" s="142"/>
      <x:c r="Q242" s="208"/>
      <x:c r="R242" s="208"/>
      <x:c r="S242" s="202" t="str">
        <x:f>IF(A242="","",IF(COUNTIF(F242:J242,"Sim")=5,"PRONTO","PENDENTE"))</x:f>
      </x:c>
      <x:c r="T242" s="142"/>
    </x:row>
    <x:row r="243" ht="19" customHeight="1">
      <x:c r="A243" s="142"/>
      <x:c r="B243" s="142"/>
      <x:c r="C243" s="142"/>
      <x:c r="D243" s="142"/>
      <x:c r="E243" s="142"/>
      <x:c r="F243" s="142"/>
      <x:c r="G243" s="142"/>
      <x:c r="H243" s="142"/>
      <x:c r="I243" s="142"/>
      <x:c r="J243" s="142"/>
      <x:c r="K243" s="142"/>
      <x:c r="L243" s="208"/>
      <x:c r="M243" s="208"/>
      <x:c r="N243" s="142"/>
      <x:c r="O243" s="142"/>
      <x:c r="P243" s="142"/>
      <x:c r="Q243" s="208"/>
      <x:c r="R243" s="208"/>
      <x:c r="S243" s="202" t="str">
        <x:f>IF(A243="","",IF(COUNTIF(F243:J243,"Sim")=5,"PRONTO","PENDENTE"))</x:f>
      </x:c>
      <x:c r="T243" s="142"/>
    </x:row>
    <x:row r="244" ht="19" customHeight="1">
      <x:c r="A244" s="142"/>
      <x:c r="B244" s="142"/>
      <x:c r="C244" s="142"/>
      <x:c r="D244" s="142"/>
      <x:c r="E244" s="142"/>
      <x:c r="F244" s="142"/>
      <x:c r="G244" s="142"/>
      <x:c r="H244" s="142"/>
      <x:c r="I244" s="142"/>
      <x:c r="J244" s="142"/>
      <x:c r="K244" s="142"/>
      <x:c r="L244" s="208"/>
      <x:c r="M244" s="208"/>
      <x:c r="N244" s="142"/>
      <x:c r="O244" s="142"/>
      <x:c r="P244" s="142"/>
      <x:c r="Q244" s="208"/>
      <x:c r="R244" s="208"/>
      <x:c r="S244" s="202" t="str">
        <x:f>IF(A244="","",IF(COUNTIF(F244:J244,"Sim")=5,"PRONTO","PENDENTE"))</x:f>
      </x:c>
      <x:c r="T244" s="142"/>
    </x:row>
    <x:row r="245" ht="19" customHeight="1">
      <x:c r="A245" s="142"/>
      <x:c r="B245" s="142"/>
      <x:c r="C245" s="142"/>
      <x:c r="D245" s="142"/>
      <x:c r="E245" s="142"/>
      <x:c r="F245" s="142"/>
      <x:c r="G245" s="142"/>
      <x:c r="H245" s="142"/>
      <x:c r="I245" s="142"/>
      <x:c r="J245" s="142"/>
      <x:c r="K245" s="142"/>
      <x:c r="L245" s="208"/>
      <x:c r="M245" s="208"/>
      <x:c r="N245" s="142"/>
      <x:c r="O245" s="142"/>
      <x:c r="P245" s="142"/>
      <x:c r="Q245" s="208"/>
      <x:c r="R245" s="208"/>
      <x:c r="S245" s="202" t="str">
        <x:f>IF(A245="","",IF(COUNTIF(F245:J245,"Sim")=5,"PRONTO","PENDENTE"))</x:f>
      </x:c>
      <x:c r="T245" s="142"/>
    </x:row>
    <x:row r="246" ht="19" customHeight="1">
      <x:c r="A246" s="142"/>
      <x:c r="B246" s="142"/>
      <x:c r="C246" s="142"/>
      <x:c r="D246" s="142"/>
      <x:c r="E246" s="142"/>
      <x:c r="F246" s="142"/>
      <x:c r="G246" s="142"/>
      <x:c r="H246" s="142"/>
      <x:c r="I246" s="142"/>
      <x:c r="J246" s="142"/>
      <x:c r="K246" s="142"/>
      <x:c r="L246" s="208"/>
      <x:c r="M246" s="208"/>
      <x:c r="N246" s="142"/>
      <x:c r="O246" s="142"/>
      <x:c r="P246" s="142"/>
      <x:c r="Q246" s="208"/>
      <x:c r="R246" s="208"/>
      <x:c r="S246" s="202" t="str">
        <x:f>IF(A246="","",IF(COUNTIF(F246:J246,"Sim")=5,"PRONTO","PENDENTE"))</x:f>
      </x:c>
      <x:c r="T246" s="142"/>
    </x:row>
    <x:row r="247" ht="19" customHeight="1">
      <x:c r="A247" s="142"/>
      <x:c r="B247" s="142"/>
      <x:c r="C247" s="142"/>
      <x:c r="D247" s="142"/>
      <x:c r="E247" s="142"/>
      <x:c r="F247" s="142"/>
      <x:c r="G247" s="142"/>
      <x:c r="H247" s="142"/>
      <x:c r="I247" s="142"/>
      <x:c r="J247" s="142"/>
      <x:c r="K247" s="142"/>
      <x:c r="L247" s="208"/>
      <x:c r="M247" s="208"/>
      <x:c r="N247" s="142"/>
      <x:c r="O247" s="142"/>
      <x:c r="P247" s="142"/>
      <x:c r="Q247" s="208"/>
      <x:c r="R247" s="208"/>
      <x:c r="S247" s="202" t="str">
        <x:f>IF(A247="","",IF(COUNTIF(F247:J247,"Sim")=5,"PRONTO","PENDENTE"))</x:f>
      </x:c>
      <x:c r="T247" s="142"/>
    </x:row>
    <x:row r="248" ht="19" customHeight="1">
      <x:c r="A248" s="142"/>
      <x:c r="B248" s="142"/>
      <x:c r="C248" s="142"/>
      <x:c r="D248" s="142"/>
      <x:c r="E248" s="142"/>
      <x:c r="F248" s="142"/>
      <x:c r="G248" s="142"/>
      <x:c r="H248" s="142"/>
      <x:c r="I248" s="142"/>
      <x:c r="J248" s="142"/>
      <x:c r="K248" s="142"/>
      <x:c r="L248" s="208"/>
      <x:c r="M248" s="208"/>
      <x:c r="N248" s="142"/>
      <x:c r="O248" s="142"/>
      <x:c r="P248" s="142"/>
      <x:c r="Q248" s="208"/>
      <x:c r="R248" s="208"/>
      <x:c r="S248" s="202" t="str">
        <x:f>IF(A248="","",IF(COUNTIF(F248:J248,"Sim")=5,"PRONTO","PENDENTE"))</x:f>
      </x:c>
      <x:c r="T248" s="142"/>
    </x:row>
    <x:row r="249" ht="19" customHeight="1">
      <x:c r="A249" s="142"/>
      <x:c r="B249" s="142"/>
      <x:c r="C249" s="142"/>
      <x:c r="D249" s="142"/>
      <x:c r="E249" s="142"/>
      <x:c r="F249" s="142"/>
      <x:c r="G249" s="142"/>
      <x:c r="H249" s="142"/>
      <x:c r="I249" s="142"/>
      <x:c r="J249" s="142"/>
      <x:c r="K249" s="142"/>
      <x:c r="L249" s="208"/>
      <x:c r="M249" s="208"/>
      <x:c r="N249" s="142"/>
      <x:c r="O249" s="142"/>
      <x:c r="P249" s="142"/>
      <x:c r="Q249" s="208"/>
      <x:c r="R249" s="208"/>
      <x:c r="S249" s="202" t="str">
        <x:f>IF(A249="","",IF(COUNTIF(F249:J249,"Sim")=5,"PRONTO","PENDENTE"))</x:f>
      </x:c>
      <x:c r="T249" s="142"/>
    </x:row>
    <x:row r="250" ht="19" customHeight="1">
      <x:c r="A250" s="142"/>
      <x:c r="B250" s="142"/>
      <x:c r="C250" s="142"/>
      <x:c r="D250" s="142"/>
      <x:c r="E250" s="142"/>
      <x:c r="F250" s="142"/>
      <x:c r="G250" s="142"/>
      <x:c r="H250" s="142"/>
      <x:c r="I250" s="142"/>
      <x:c r="J250" s="142"/>
      <x:c r="K250" s="142"/>
      <x:c r="L250" s="208"/>
      <x:c r="M250" s="208"/>
      <x:c r="N250" s="142"/>
      <x:c r="O250" s="142"/>
      <x:c r="P250" s="142"/>
      <x:c r="Q250" s="208"/>
      <x:c r="R250" s="208"/>
      <x:c r="S250" s="202" t="str">
        <x:f>IF(A250="","",IF(COUNTIF(F250:J250,"Sim")=5,"PRONTO","PENDENTE"))</x:f>
      </x:c>
      <x:c r="T250" s="142"/>
    </x:row>
    <x:row r="251" ht="19" customHeight="1">
      <x:c r="A251" s="142"/>
      <x:c r="B251" s="142"/>
      <x:c r="C251" s="142"/>
      <x:c r="D251" s="142"/>
      <x:c r="E251" s="142"/>
      <x:c r="F251" s="142"/>
      <x:c r="G251" s="142"/>
      <x:c r="H251" s="142"/>
      <x:c r="I251" s="142"/>
      <x:c r="J251" s="142"/>
      <x:c r="K251" s="142"/>
      <x:c r="L251" s="208"/>
      <x:c r="M251" s="208"/>
      <x:c r="N251" s="142"/>
      <x:c r="O251" s="142"/>
      <x:c r="P251" s="142"/>
      <x:c r="Q251" s="208"/>
      <x:c r="R251" s="208"/>
      <x:c r="S251" s="202" t="str">
        <x:f>IF(A251="","",IF(COUNTIF(F251:J251,"Sim")=5,"PRONTO","PENDENTE"))</x:f>
      </x:c>
      <x:c r="T251" s="142"/>
    </x:row>
    <x:row r="252" ht="19" customHeight="1">
      <x:c r="A252" s="142"/>
      <x:c r="B252" s="142"/>
      <x:c r="C252" s="142"/>
      <x:c r="D252" s="142"/>
      <x:c r="E252" s="142"/>
      <x:c r="F252" s="142"/>
      <x:c r="G252" s="142"/>
      <x:c r="H252" s="142"/>
      <x:c r="I252" s="142"/>
      <x:c r="J252" s="142"/>
      <x:c r="K252" s="142"/>
      <x:c r="L252" s="208"/>
      <x:c r="M252" s="208"/>
      <x:c r="N252" s="142"/>
      <x:c r="O252" s="142"/>
      <x:c r="P252" s="142"/>
      <x:c r="Q252" s="208"/>
      <x:c r="R252" s="208"/>
      <x:c r="S252" s="202" t="str">
        <x:f>IF(A252="","",IF(COUNTIF(F252:J252,"Sim")=5,"PRONTO","PENDENTE"))</x:f>
      </x:c>
      <x:c r="T252" s="142"/>
    </x:row>
    <x:row r="253" ht="19" customHeight="1">
      <x:c r="A253" s="142"/>
      <x:c r="B253" s="142"/>
      <x:c r="C253" s="142"/>
      <x:c r="D253" s="142"/>
      <x:c r="E253" s="142"/>
      <x:c r="F253" s="142"/>
      <x:c r="G253" s="142"/>
      <x:c r="H253" s="142"/>
      <x:c r="I253" s="142"/>
      <x:c r="J253" s="142"/>
      <x:c r="K253" s="142"/>
      <x:c r="L253" s="208"/>
      <x:c r="M253" s="208"/>
      <x:c r="N253" s="142"/>
      <x:c r="O253" s="142"/>
      <x:c r="P253" s="142"/>
      <x:c r="Q253" s="208"/>
      <x:c r="R253" s="208"/>
      <x:c r="S253" s="202" t="str">
        <x:f>IF(A253="","",IF(COUNTIF(F253:J253,"Sim")=5,"PRONTO","PENDENTE"))</x:f>
      </x:c>
      <x:c r="T253" s="142"/>
    </x:row>
    <x:row r="254" ht="19" customHeight="1">
      <x:c r="A254" s="143"/>
      <x:c r="B254" s="143"/>
      <x:c r="C254" s="143"/>
      <x:c r="D254" s="143"/>
      <x:c r="E254" s="143"/>
      <x:c r="F254" s="143"/>
      <x:c r="G254" s="143"/>
      <x:c r="H254" s="143"/>
      <x:c r="I254" s="143"/>
      <x:c r="J254" s="143"/>
      <x:c r="K254" s="143"/>
      <x:c r="L254" s="209"/>
      <x:c r="M254" s="209"/>
      <x:c r="N254" s="143"/>
      <x:c r="O254" s="143"/>
      <x:c r="P254" s="143"/>
      <x:c r="Q254" s="209"/>
      <x:c r="R254" s="209"/>
      <x:c r="S254" s="203" t="str">
        <x:f>IF(A254="","",IF(COUNTIF(F254:J254,"Sim")=5,"PRONTO","PENDENTE"))</x:f>
      </x:c>
      <x:c r="T254" s="143"/>
    </x:row>
  </x:sheetData>
  <x:mergeCells>
    <x:mergeCell ref="A1:T1"/>
    <x:mergeCell ref="A2:T2"/>
  </x:mergeCells>
  <x:conditionalFormatting sqref="S5:S254">
    <x:cfRule type="expression" dxfId="8" priority="1">
      <x:formula>S5="PRONTO"</x:formula>
    </x:cfRule>
    <x:cfRule type="expression" dxfId="9" priority="2">
      <x:formula>S5="PENDENTE"</x:formula>
    </x:cfRule>
  </x:conditionalFormatting>
  <x:dataValidations count="3">
    <x:dataValidation type="list" sqref="F5:J254">
      <x:formula1>"Sim,Não,Parcial,N/A"</x:formula1>
    </x:dataValidation>
    <x:dataValidation type="list" sqref="K5:K254">
      <x:formula1>"N/A,Testes,Produção"</x:formula1>
    </x:dataValidation>
    <x:dataValidation type="list" sqref="N5:N254">
      <x:formula1>"Sem envio,Aceito,Rejeitado técnico,Conflito de direitos,Aguardando retorno,Em correção,Concluído"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2f19f3a2c84e4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20" hidden="0" customWidth="1"/>
    <x:col min="5" max="5" width="18" hidden="0" customWidth="1"/>
    <x:col min="6" max="6" width="15" hidden="0" customWidth="1"/>
    <x:col min="7" max="7" width="17" hidden="0" customWidth="1"/>
    <x:col min="8" max="8" width="15" hidden="0" customWidth="1"/>
    <x:col min="9" max="9" width="16" hidden="0" customWidth="1"/>
    <x:col min="10" max="10" width="32" hidden="0" customWidth="1"/>
    <x:col min="11" max="11" width="28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  <x:col min="17" max="17" width="18" hidden="0" customWidth="1"/>
    <x:col min="18" max="18" width="18" hidden="0" customWidth="1"/>
    <x:col min="19" max="19" width="16" hidden="0" customWidth="1"/>
    <x:col min="20" max="20" width="16" hidden="0" customWidth="1"/>
    <x:col min="21" max="21" width="22" hidden="0" customWidth="1"/>
    <x:col min="22" max="22" width="32" hidden="0" customWidth="1"/>
    <x:col min="23" max="23" width="34" hidden="0" customWidth="1"/>
  </x:cols>
  <x:sheetData>
    <x:row r="1" ht="28" customHeight="1">
      <x:c r="A1" s="5" t="str">
        <x:v>ROYALTIES &amp; AUDITORIA — CONCILIAÇÃO DE RECEITAS</x:v>
      </x:c>
    </x:row>
    <x:row r="2" ht="32" customHeight="1">
      <x:c r="A2" s="14" t="str">
        <x:v>Importe ou cole uma linha por lançamento/período/plataforma/território. Os campos calculados apuram a receita líquida, o valor devido e a diferença.</x:v>
      </x:c>
    </x:row>
    <x:row r="4" ht="34" customHeight="1">
      <x:c r="A4" s="56" t="str">
        <x:v>Competência</x:v>
      </x:c>
      <x:c r="B4" s="56" t="str">
        <x:v>Data do Reporte</x:v>
      </x:c>
      <x:c r="C4" s="56" t="str">
        <x:v>Plataforma / Entidade</x:v>
      </x:c>
      <x:c r="D4" s="56" t="str">
        <x:v>Fonte de Receita</x:v>
      </x:c>
      <x:c r="E4" s="56" t="str">
        <x:v>Território</x:v>
      </x:c>
      <x:c r="F4" s="56" t="str">
        <x:v>ID Fonograma</x:v>
      </x:c>
      <x:c r="G4" s="56" t="str">
        <x:v>ISRC</x:v>
      </x:c>
      <x:c r="H4" s="56" t="str">
        <x:v>ID Obra</x:v>
      </x:c>
      <x:c r="I4" s="56" t="str">
        <x:v>ISWC</x:v>
      </x:c>
      <x:c r="J4" s="56" t="str">
        <x:v>Título</x:v>
      </x:c>
      <x:c r="K4" s="56" t="str">
        <x:v>Artista / Autor</x:v>
      </x:c>
      <x:c r="L4" s="56" t="str">
        <x:v>Quantidade de Usos</x:v>
      </x:c>
      <x:c r="M4" s="56" t="str">
        <x:v>Receita Bruta</x:v>
      </x:c>
      <x:c r="N4" s="56" t="str">
        <x:v>Deduções</x:v>
      </x:c>
      <x:c r="O4" s="56" t="str">
        <x:v>Receita Líquida</x:v>
      </x:c>
      <x:c r="P4" s="56" t="str">
        <x:v>% Thuim</x:v>
      </x:c>
      <x:c r="Q4" s="56" t="str">
        <x:v>Valor Devido à Thuim</x:v>
      </x:c>
      <x:c r="R4" s="56" t="str">
        <x:v>Valor Recebido</x:v>
      </x:c>
      <x:c r="S4" s="56" t="str">
        <x:v>Diferença</x:v>
      </x:c>
      <x:c r="T4" s="56" t="str">
        <x:v>Data Pagamento</x:v>
      </x:c>
      <x:c r="U4" s="56" t="str">
        <x:v>Status de Conciliação</x:v>
      </x:c>
      <x:c r="V4" s="56" t="str">
        <x:v>Link Extrato / Report</x:v>
      </x:c>
      <x:c r="W4" s="56" t="str">
        <x:v>Observações</x:v>
      </x:c>
    </x:row>
    <x:row r="5" ht="19" customHeight="1">
      <x:c r="A5" s="207"/>
      <x:c r="B5" s="207"/>
      <x:c r="C5" s="141"/>
      <x:c r="D5" s="141"/>
      <x:c r="E5" s="141"/>
      <x:c r="F5" s="141"/>
      <x:c r="G5" s="141"/>
      <x:c r="H5" s="141"/>
      <x:c r="I5" s="141"/>
      <x:c r="J5" s="141"/>
      <x:c r="K5" s="141"/>
      <x:c r="L5" s="141"/>
      <x:c r="M5" s="225"/>
      <x:c r="N5" s="225"/>
      <x:c r="O5" s="231" t="str">
        <x:f>IF(A5="","",M5-N5)</x:f>
      </x:c>
      <x:c r="P5" s="219"/>
      <x:c r="Q5" s="231" t="str">
        <x:f>IF(A5="","",O5*P5)</x:f>
      </x:c>
      <x:c r="R5" s="225"/>
      <x:c r="S5" s="231" t="str">
        <x:f>IF(A5="","",Q5-R5)</x:f>
      </x:c>
      <x:c r="T5" s="207"/>
      <x:c r="U5" s="141"/>
      <x:c r="V5" s="141"/>
      <x:c r="W5" s="141"/>
    </x:row>
    <x:row r="6" ht="19" customHeight="1">
      <x:c r="A6" s="208"/>
      <x:c r="B6" s="208"/>
      <x:c r="C6" s="142"/>
      <x:c r="D6" s="142"/>
      <x:c r="E6" s="142"/>
      <x:c r="F6" s="142"/>
      <x:c r="G6" s="142"/>
      <x:c r="H6" s="142"/>
      <x:c r="I6" s="142"/>
      <x:c r="J6" s="142"/>
      <x:c r="K6" s="142"/>
      <x:c r="L6" s="142"/>
      <x:c r="M6" s="226"/>
      <x:c r="N6" s="226"/>
      <x:c r="O6" s="232" t="str">
        <x:f>IF(A6="","",M6-N6)</x:f>
      </x:c>
      <x:c r="P6" s="220"/>
      <x:c r="Q6" s="232" t="str">
        <x:f>IF(A6="","",O6*P6)</x:f>
      </x:c>
      <x:c r="R6" s="226"/>
      <x:c r="S6" s="232" t="str">
        <x:f>IF(A6="","",Q6-R6)</x:f>
      </x:c>
      <x:c r="T6" s="208"/>
      <x:c r="U6" s="142"/>
      <x:c r="V6" s="142"/>
      <x:c r="W6" s="142"/>
    </x:row>
    <x:row r="7" ht="19" customHeight="1">
      <x:c r="A7" s="208"/>
      <x:c r="B7" s="208"/>
      <x:c r="C7" s="142"/>
      <x:c r="D7" s="142"/>
      <x:c r="E7" s="142"/>
      <x:c r="F7" s="142"/>
      <x:c r="G7" s="142"/>
      <x:c r="H7" s="142"/>
      <x:c r="I7" s="142"/>
      <x:c r="J7" s="142"/>
      <x:c r="K7" s="142"/>
      <x:c r="L7" s="142"/>
      <x:c r="M7" s="226"/>
      <x:c r="N7" s="226"/>
      <x:c r="O7" s="232" t="str">
        <x:f>IF(A7="","",M7-N7)</x:f>
      </x:c>
      <x:c r="P7" s="220"/>
      <x:c r="Q7" s="232" t="str">
        <x:f>IF(A7="","",O7*P7)</x:f>
      </x:c>
      <x:c r="R7" s="226"/>
      <x:c r="S7" s="232" t="str">
        <x:f>IF(A7="","",Q7-R7)</x:f>
      </x:c>
      <x:c r="T7" s="208"/>
      <x:c r="U7" s="142"/>
      <x:c r="V7" s="142"/>
      <x:c r="W7" s="142"/>
    </x:row>
    <x:row r="8" ht="19" customHeight="1">
      <x:c r="A8" s="208"/>
      <x:c r="B8" s="208"/>
      <x:c r="C8" s="142"/>
      <x:c r="D8" s="142"/>
      <x:c r="E8" s="142"/>
      <x:c r="F8" s="142"/>
      <x:c r="G8" s="142"/>
      <x:c r="H8" s="142"/>
      <x:c r="I8" s="142"/>
      <x:c r="J8" s="142"/>
      <x:c r="K8" s="142"/>
      <x:c r="L8" s="142"/>
      <x:c r="M8" s="226"/>
      <x:c r="N8" s="226"/>
      <x:c r="O8" s="232" t="str">
        <x:f>IF(A8="","",M8-N8)</x:f>
      </x:c>
      <x:c r="P8" s="220"/>
      <x:c r="Q8" s="232" t="str">
        <x:f>IF(A8="","",O8*P8)</x:f>
      </x:c>
      <x:c r="R8" s="226"/>
      <x:c r="S8" s="232" t="str">
        <x:f>IF(A8="","",Q8-R8)</x:f>
      </x:c>
      <x:c r="T8" s="208"/>
      <x:c r="U8" s="142"/>
      <x:c r="V8" s="142"/>
      <x:c r="W8" s="142"/>
    </x:row>
    <x:row r="9" ht="19" customHeight="1">
      <x:c r="A9" s="208"/>
      <x:c r="B9" s="208"/>
      <x:c r="C9" s="142"/>
      <x:c r="D9" s="142"/>
      <x:c r="E9" s="142"/>
      <x:c r="F9" s="142"/>
      <x:c r="G9" s="142"/>
      <x:c r="H9" s="142"/>
      <x:c r="I9" s="142"/>
      <x:c r="J9" s="142"/>
      <x:c r="K9" s="142"/>
      <x:c r="L9" s="142"/>
      <x:c r="M9" s="226"/>
      <x:c r="N9" s="226"/>
      <x:c r="O9" s="232" t="str">
        <x:f>IF(A9="","",M9-N9)</x:f>
      </x:c>
      <x:c r="P9" s="220"/>
      <x:c r="Q9" s="232" t="str">
        <x:f>IF(A9="","",O9*P9)</x:f>
      </x:c>
      <x:c r="R9" s="226"/>
      <x:c r="S9" s="232" t="str">
        <x:f>IF(A9="","",Q9-R9)</x:f>
      </x:c>
      <x:c r="T9" s="208"/>
      <x:c r="U9" s="142"/>
      <x:c r="V9" s="142"/>
      <x:c r="W9" s="142"/>
    </x:row>
    <x:row r="10" ht="19" customHeight="1">
      <x:c r="A10" s="208"/>
      <x:c r="B10" s="208"/>
      <x:c r="C10" s="142"/>
      <x:c r="D10" s="142"/>
      <x:c r="E10" s="142"/>
      <x:c r="F10" s="142"/>
      <x:c r="G10" s="142"/>
      <x:c r="H10" s="142"/>
      <x:c r="I10" s="142"/>
      <x:c r="J10" s="142"/>
      <x:c r="K10" s="142"/>
      <x:c r="L10" s="142"/>
      <x:c r="M10" s="226"/>
      <x:c r="N10" s="226"/>
      <x:c r="O10" s="232" t="str">
        <x:f>IF(A10="","",M10-N10)</x:f>
      </x:c>
      <x:c r="P10" s="220"/>
      <x:c r="Q10" s="232" t="str">
        <x:f>IF(A10="","",O10*P10)</x:f>
      </x:c>
      <x:c r="R10" s="226"/>
      <x:c r="S10" s="232" t="str">
        <x:f>IF(A10="","",Q10-R10)</x:f>
      </x:c>
      <x:c r="T10" s="208"/>
      <x:c r="U10" s="142"/>
      <x:c r="V10" s="142"/>
      <x:c r="W10" s="142"/>
    </x:row>
    <x:row r="11" ht="19" customHeight="1">
      <x:c r="A11" s="208"/>
      <x:c r="B11" s="208"/>
      <x:c r="C11" s="142"/>
      <x:c r="D11" s="142"/>
      <x:c r="E11" s="142"/>
      <x:c r="F11" s="142"/>
      <x:c r="G11" s="142"/>
      <x:c r="H11" s="142"/>
      <x:c r="I11" s="142"/>
      <x:c r="J11" s="142"/>
      <x:c r="K11" s="142"/>
      <x:c r="L11" s="142"/>
      <x:c r="M11" s="226"/>
      <x:c r="N11" s="226"/>
      <x:c r="O11" s="232" t="str">
        <x:f>IF(A11="","",M11-N11)</x:f>
      </x:c>
      <x:c r="P11" s="220"/>
      <x:c r="Q11" s="232" t="str">
        <x:f>IF(A11="","",O11*P11)</x:f>
      </x:c>
      <x:c r="R11" s="226"/>
      <x:c r="S11" s="232" t="str">
        <x:f>IF(A11="","",Q11-R11)</x:f>
      </x:c>
      <x:c r="T11" s="208"/>
      <x:c r="U11" s="142"/>
      <x:c r="V11" s="142"/>
      <x:c r="W11" s="142"/>
    </x:row>
    <x:row r="12" ht="19" customHeight="1">
      <x:c r="A12" s="208"/>
      <x:c r="B12" s="208"/>
      <x:c r="C12" s="142"/>
      <x:c r="D12" s="142"/>
      <x:c r="E12" s="142"/>
      <x:c r="F12" s="142"/>
      <x:c r="G12" s="142"/>
      <x:c r="H12" s="142"/>
      <x:c r="I12" s="142"/>
      <x:c r="J12" s="142"/>
      <x:c r="K12" s="142"/>
      <x:c r="L12" s="142"/>
      <x:c r="M12" s="226"/>
      <x:c r="N12" s="226"/>
      <x:c r="O12" s="232" t="str">
        <x:f>IF(A12="","",M12-N12)</x:f>
      </x:c>
      <x:c r="P12" s="220"/>
      <x:c r="Q12" s="232" t="str">
        <x:f>IF(A12="","",O12*P12)</x:f>
      </x:c>
      <x:c r="R12" s="226"/>
      <x:c r="S12" s="232" t="str">
        <x:f>IF(A12="","",Q12-R12)</x:f>
      </x:c>
      <x:c r="T12" s="208"/>
      <x:c r="U12" s="142"/>
      <x:c r="V12" s="142"/>
      <x:c r="W12" s="142"/>
    </x:row>
    <x:row r="13" ht="19" customHeight="1">
      <x:c r="A13" s="208"/>
      <x:c r="B13" s="208"/>
      <x:c r="C13" s="142"/>
      <x:c r="D13" s="142"/>
      <x:c r="E13" s="142"/>
      <x:c r="F13" s="142"/>
      <x:c r="G13" s="142"/>
      <x:c r="H13" s="142"/>
      <x:c r="I13" s="142"/>
      <x:c r="J13" s="142"/>
      <x:c r="K13" s="142"/>
      <x:c r="L13" s="142"/>
      <x:c r="M13" s="226"/>
      <x:c r="N13" s="226"/>
      <x:c r="O13" s="232" t="str">
        <x:f>IF(A13="","",M13-N13)</x:f>
      </x:c>
      <x:c r="P13" s="220"/>
      <x:c r="Q13" s="232" t="str">
        <x:f>IF(A13="","",O13*P13)</x:f>
      </x:c>
      <x:c r="R13" s="226"/>
      <x:c r="S13" s="232" t="str">
        <x:f>IF(A13="","",Q13-R13)</x:f>
      </x:c>
      <x:c r="T13" s="208"/>
      <x:c r="U13" s="142"/>
      <x:c r="V13" s="142"/>
      <x:c r="W13" s="142"/>
    </x:row>
    <x:row r="14" ht="19" customHeight="1">
      <x:c r="A14" s="208"/>
      <x:c r="B14" s="208"/>
      <x:c r="C14" s="142"/>
      <x:c r="D14" s="142"/>
      <x:c r="E14" s="142"/>
      <x:c r="F14" s="142"/>
      <x:c r="G14" s="142"/>
      <x:c r="H14" s="142"/>
      <x:c r="I14" s="142"/>
      <x:c r="J14" s="142"/>
      <x:c r="K14" s="142"/>
      <x:c r="L14" s="142"/>
      <x:c r="M14" s="226"/>
      <x:c r="N14" s="226"/>
      <x:c r="O14" s="232" t="str">
        <x:f>IF(A14="","",M14-N14)</x:f>
      </x:c>
      <x:c r="P14" s="220"/>
      <x:c r="Q14" s="232" t="str">
        <x:f>IF(A14="","",O14*P14)</x:f>
      </x:c>
      <x:c r="R14" s="226"/>
      <x:c r="S14" s="232" t="str">
        <x:f>IF(A14="","",Q14-R14)</x:f>
      </x:c>
      <x:c r="T14" s="208"/>
      <x:c r="U14" s="142"/>
      <x:c r="V14" s="142"/>
      <x:c r="W14" s="142"/>
    </x:row>
    <x:row r="15" ht="19" customHeight="1">
      <x:c r="A15" s="208"/>
      <x:c r="B15" s="208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142"/>
      <x:c r="M15" s="226"/>
      <x:c r="N15" s="226"/>
      <x:c r="O15" s="232" t="str">
        <x:f>IF(A15="","",M15-N15)</x:f>
      </x:c>
      <x:c r="P15" s="220"/>
      <x:c r="Q15" s="232" t="str">
        <x:f>IF(A15="","",O15*P15)</x:f>
      </x:c>
      <x:c r="R15" s="226"/>
      <x:c r="S15" s="232" t="str">
        <x:f>IF(A15="","",Q15-R15)</x:f>
      </x:c>
      <x:c r="T15" s="208"/>
      <x:c r="U15" s="142"/>
      <x:c r="V15" s="142"/>
      <x:c r="W15" s="142"/>
    </x:row>
    <x:row r="16" ht="19" customHeight="1">
      <x:c r="A16" s="208"/>
      <x:c r="B16" s="208"/>
      <x:c r="C16" s="142"/>
      <x:c r="D16" s="142"/>
      <x:c r="E16" s="142"/>
      <x:c r="F16" s="142"/>
      <x:c r="G16" s="142"/>
      <x:c r="H16" s="142"/>
      <x:c r="I16" s="142"/>
      <x:c r="J16" s="142"/>
      <x:c r="K16" s="142"/>
      <x:c r="L16" s="142"/>
      <x:c r="M16" s="226"/>
      <x:c r="N16" s="226"/>
      <x:c r="O16" s="232" t="str">
        <x:f>IF(A16="","",M16-N16)</x:f>
      </x:c>
      <x:c r="P16" s="220"/>
      <x:c r="Q16" s="232" t="str">
        <x:f>IF(A16="","",O16*P16)</x:f>
      </x:c>
      <x:c r="R16" s="226"/>
      <x:c r="S16" s="232" t="str">
        <x:f>IF(A16="","",Q16-R16)</x:f>
      </x:c>
      <x:c r="T16" s="208"/>
      <x:c r="U16" s="142"/>
      <x:c r="V16" s="142"/>
      <x:c r="W16" s="142"/>
    </x:row>
    <x:row r="17" ht="19" customHeight="1">
      <x:c r="A17" s="208"/>
      <x:c r="B17" s="208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226"/>
      <x:c r="N17" s="226"/>
      <x:c r="O17" s="232" t="str">
        <x:f>IF(A17="","",M17-N17)</x:f>
      </x:c>
      <x:c r="P17" s="220"/>
      <x:c r="Q17" s="232" t="str">
        <x:f>IF(A17="","",O17*P17)</x:f>
      </x:c>
      <x:c r="R17" s="226"/>
      <x:c r="S17" s="232" t="str">
        <x:f>IF(A17="","",Q17-R17)</x:f>
      </x:c>
      <x:c r="T17" s="208"/>
      <x:c r="U17" s="142"/>
      <x:c r="V17" s="142"/>
      <x:c r="W17" s="142"/>
    </x:row>
    <x:row r="18" ht="19" customHeight="1">
      <x:c r="A18" s="208"/>
      <x:c r="B18" s="208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142"/>
      <x:c r="M18" s="226"/>
      <x:c r="N18" s="226"/>
      <x:c r="O18" s="232" t="str">
        <x:f>IF(A18="","",M18-N18)</x:f>
      </x:c>
      <x:c r="P18" s="220"/>
      <x:c r="Q18" s="232" t="str">
        <x:f>IF(A18="","",O18*P18)</x:f>
      </x:c>
      <x:c r="R18" s="226"/>
      <x:c r="S18" s="232" t="str">
        <x:f>IF(A18="","",Q18-R18)</x:f>
      </x:c>
      <x:c r="T18" s="208"/>
      <x:c r="U18" s="142"/>
      <x:c r="V18" s="142"/>
      <x:c r="W18" s="142"/>
    </x:row>
    <x:row r="19" ht="19" customHeight="1">
      <x:c r="A19" s="208"/>
      <x:c r="B19" s="208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142"/>
      <x:c r="M19" s="226"/>
      <x:c r="N19" s="226"/>
      <x:c r="O19" s="232" t="str">
        <x:f>IF(A19="","",M19-N19)</x:f>
      </x:c>
      <x:c r="P19" s="220"/>
      <x:c r="Q19" s="232" t="str">
        <x:f>IF(A19="","",O19*P19)</x:f>
      </x:c>
      <x:c r="R19" s="226"/>
      <x:c r="S19" s="232" t="str">
        <x:f>IF(A19="","",Q19-R19)</x:f>
      </x:c>
      <x:c r="T19" s="208"/>
      <x:c r="U19" s="142"/>
      <x:c r="V19" s="142"/>
      <x:c r="W19" s="142"/>
    </x:row>
    <x:row r="20" ht="19" customHeight="1">
      <x:c r="A20" s="208"/>
      <x:c r="B20" s="208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142"/>
      <x:c r="M20" s="226"/>
      <x:c r="N20" s="226"/>
      <x:c r="O20" s="232" t="str">
        <x:f>IF(A20="","",M20-N20)</x:f>
      </x:c>
      <x:c r="P20" s="220"/>
      <x:c r="Q20" s="232" t="str">
        <x:f>IF(A20="","",O20*P20)</x:f>
      </x:c>
      <x:c r="R20" s="226"/>
      <x:c r="S20" s="232" t="str">
        <x:f>IF(A20="","",Q20-R20)</x:f>
      </x:c>
      <x:c r="T20" s="208"/>
      <x:c r="U20" s="142"/>
      <x:c r="V20" s="142"/>
      <x:c r="W20" s="142"/>
    </x:row>
    <x:row r="21" ht="19" customHeight="1">
      <x:c r="A21" s="208"/>
      <x:c r="B21" s="208"/>
      <x:c r="C21" s="142"/>
      <x:c r="D21" s="142"/>
      <x:c r="E21" s="142"/>
      <x:c r="F21" s="142"/>
      <x:c r="G21" s="142"/>
      <x:c r="H21" s="142"/>
      <x:c r="I21" s="142"/>
      <x:c r="J21" s="142"/>
      <x:c r="K21" s="142"/>
      <x:c r="L21" s="142"/>
      <x:c r="M21" s="226"/>
      <x:c r="N21" s="226"/>
      <x:c r="O21" s="232" t="str">
        <x:f>IF(A21="","",M21-N21)</x:f>
      </x:c>
      <x:c r="P21" s="220"/>
      <x:c r="Q21" s="232" t="str">
        <x:f>IF(A21="","",O21*P21)</x:f>
      </x:c>
      <x:c r="R21" s="226"/>
      <x:c r="S21" s="232" t="str">
        <x:f>IF(A21="","",Q21-R21)</x:f>
      </x:c>
      <x:c r="T21" s="208"/>
      <x:c r="U21" s="142"/>
      <x:c r="V21" s="142"/>
      <x:c r="W21" s="142"/>
    </x:row>
    <x:row r="22" ht="19" customHeight="1">
      <x:c r="A22" s="208"/>
      <x:c r="B22" s="208"/>
      <x:c r="C22" s="142"/>
      <x:c r="D22" s="142"/>
      <x:c r="E22" s="142"/>
      <x:c r="F22" s="142"/>
      <x:c r="G22" s="142"/>
      <x:c r="H22" s="142"/>
      <x:c r="I22" s="142"/>
      <x:c r="J22" s="142"/>
      <x:c r="K22" s="142"/>
      <x:c r="L22" s="142"/>
      <x:c r="M22" s="226"/>
      <x:c r="N22" s="226"/>
      <x:c r="O22" s="232" t="str">
        <x:f>IF(A22="","",M22-N22)</x:f>
      </x:c>
      <x:c r="P22" s="220"/>
      <x:c r="Q22" s="232" t="str">
        <x:f>IF(A22="","",O22*P22)</x:f>
      </x:c>
      <x:c r="R22" s="226"/>
      <x:c r="S22" s="232" t="str">
        <x:f>IF(A22="","",Q22-R22)</x:f>
      </x:c>
      <x:c r="T22" s="208"/>
      <x:c r="U22" s="142"/>
      <x:c r="V22" s="142"/>
      <x:c r="W22" s="142"/>
    </x:row>
    <x:row r="23" ht="19" customHeight="1">
      <x:c r="A23" s="208"/>
      <x:c r="B23" s="208"/>
      <x:c r="C23" s="142"/>
      <x:c r="D23" s="142"/>
      <x:c r="E23" s="142"/>
      <x:c r="F23" s="142"/>
      <x:c r="G23" s="142"/>
      <x:c r="H23" s="142"/>
      <x:c r="I23" s="142"/>
      <x:c r="J23" s="142"/>
      <x:c r="K23" s="142"/>
      <x:c r="L23" s="142"/>
      <x:c r="M23" s="226"/>
      <x:c r="N23" s="226"/>
      <x:c r="O23" s="232" t="str">
        <x:f>IF(A23="","",M23-N23)</x:f>
      </x:c>
      <x:c r="P23" s="220"/>
      <x:c r="Q23" s="232" t="str">
        <x:f>IF(A23="","",O23*P23)</x:f>
      </x:c>
      <x:c r="R23" s="226"/>
      <x:c r="S23" s="232" t="str">
        <x:f>IF(A23="","",Q23-R23)</x:f>
      </x:c>
      <x:c r="T23" s="208"/>
      <x:c r="U23" s="142"/>
      <x:c r="V23" s="142"/>
      <x:c r="W23" s="142"/>
    </x:row>
    <x:row r="24" ht="19" customHeight="1">
      <x:c r="A24" s="208"/>
      <x:c r="B24" s="208"/>
      <x:c r="C24" s="142"/>
      <x:c r="D24" s="142"/>
      <x:c r="E24" s="142"/>
      <x:c r="F24" s="142"/>
      <x:c r="G24" s="142"/>
      <x:c r="H24" s="142"/>
      <x:c r="I24" s="142"/>
      <x:c r="J24" s="142"/>
      <x:c r="K24" s="142"/>
      <x:c r="L24" s="142"/>
      <x:c r="M24" s="226"/>
      <x:c r="N24" s="226"/>
      <x:c r="O24" s="232" t="str">
        <x:f>IF(A24="","",M24-N24)</x:f>
      </x:c>
      <x:c r="P24" s="220"/>
      <x:c r="Q24" s="232" t="str">
        <x:f>IF(A24="","",O24*P24)</x:f>
      </x:c>
      <x:c r="R24" s="226"/>
      <x:c r="S24" s="232" t="str">
        <x:f>IF(A24="","",Q24-R24)</x:f>
      </x:c>
      <x:c r="T24" s="208"/>
      <x:c r="U24" s="142"/>
      <x:c r="V24" s="142"/>
      <x:c r="W24" s="142"/>
    </x:row>
    <x:row r="25" ht="19" customHeight="1">
      <x:c r="A25" s="208"/>
      <x:c r="B25" s="208"/>
      <x:c r="C25" s="142"/>
      <x:c r="D25" s="142"/>
      <x:c r="E25" s="142"/>
      <x:c r="F25" s="142"/>
      <x:c r="G25" s="142"/>
      <x:c r="H25" s="142"/>
      <x:c r="I25" s="142"/>
      <x:c r="J25" s="142"/>
      <x:c r="K25" s="142"/>
      <x:c r="L25" s="142"/>
      <x:c r="M25" s="226"/>
      <x:c r="N25" s="226"/>
      <x:c r="O25" s="232" t="str">
        <x:f>IF(A25="","",M25-N25)</x:f>
      </x:c>
      <x:c r="P25" s="220"/>
      <x:c r="Q25" s="232" t="str">
        <x:f>IF(A25="","",O25*P25)</x:f>
      </x:c>
      <x:c r="R25" s="226"/>
      <x:c r="S25" s="232" t="str">
        <x:f>IF(A25="","",Q25-R25)</x:f>
      </x:c>
      <x:c r="T25" s="208"/>
      <x:c r="U25" s="142"/>
      <x:c r="V25" s="142"/>
      <x:c r="W25" s="142"/>
    </x:row>
    <x:row r="26" ht="19" customHeight="1">
      <x:c r="A26" s="208"/>
      <x:c r="B26" s="208"/>
      <x:c r="C26" s="142"/>
      <x:c r="D26" s="142"/>
      <x:c r="E26" s="142"/>
      <x:c r="F26" s="142"/>
      <x:c r="G26" s="142"/>
      <x:c r="H26" s="142"/>
      <x:c r="I26" s="142"/>
      <x:c r="J26" s="142"/>
      <x:c r="K26" s="142"/>
      <x:c r="L26" s="142"/>
      <x:c r="M26" s="226"/>
      <x:c r="N26" s="226"/>
      <x:c r="O26" s="232" t="str">
        <x:f>IF(A26="","",M26-N26)</x:f>
      </x:c>
      <x:c r="P26" s="220"/>
      <x:c r="Q26" s="232" t="str">
        <x:f>IF(A26="","",O26*P26)</x:f>
      </x:c>
      <x:c r="R26" s="226"/>
      <x:c r="S26" s="232" t="str">
        <x:f>IF(A26="","",Q26-R26)</x:f>
      </x:c>
      <x:c r="T26" s="208"/>
      <x:c r="U26" s="142"/>
      <x:c r="V26" s="142"/>
      <x:c r="W26" s="142"/>
    </x:row>
    <x:row r="27" ht="19" customHeight="1">
      <x:c r="A27" s="208"/>
      <x:c r="B27" s="208"/>
      <x:c r="C27" s="142"/>
      <x:c r="D27" s="142"/>
      <x:c r="E27" s="142"/>
      <x:c r="F27" s="142"/>
      <x:c r="G27" s="142"/>
      <x:c r="H27" s="142"/>
      <x:c r="I27" s="142"/>
      <x:c r="J27" s="142"/>
      <x:c r="K27" s="142"/>
      <x:c r="L27" s="142"/>
      <x:c r="M27" s="226"/>
      <x:c r="N27" s="226"/>
      <x:c r="O27" s="232" t="str">
        <x:f>IF(A27="","",M27-N27)</x:f>
      </x:c>
      <x:c r="P27" s="220"/>
      <x:c r="Q27" s="232" t="str">
        <x:f>IF(A27="","",O27*P27)</x:f>
      </x:c>
      <x:c r="R27" s="226"/>
      <x:c r="S27" s="232" t="str">
        <x:f>IF(A27="","",Q27-R27)</x:f>
      </x:c>
      <x:c r="T27" s="208"/>
      <x:c r="U27" s="142"/>
      <x:c r="V27" s="142"/>
      <x:c r="W27" s="142"/>
    </x:row>
    <x:row r="28" ht="19" customHeight="1">
      <x:c r="A28" s="208"/>
      <x:c r="B28" s="208"/>
      <x:c r="C28" s="142"/>
      <x:c r="D28" s="142"/>
      <x:c r="E28" s="142"/>
      <x:c r="F28" s="142"/>
      <x:c r="G28" s="142"/>
      <x:c r="H28" s="142"/>
      <x:c r="I28" s="142"/>
      <x:c r="J28" s="142"/>
      <x:c r="K28" s="142"/>
      <x:c r="L28" s="142"/>
      <x:c r="M28" s="226"/>
      <x:c r="N28" s="226"/>
      <x:c r="O28" s="232" t="str">
        <x:f>IF(A28="","",M28-N28)</x:f>
      </x:c>
      <x:c r="P28" s="220"/>
      <x:c r="Q28" s="232" t="str">
        <x:f>IF(A28="","",O28*P28)</x:f>
      </x:c>
      <x:c r="R28" s="226"/>
      <x:c r="S28" s="232" t="str">
        <x:f>IF(A28="","",Q28-R28)</x:f>
      </x:c>
      <x:c r="T28" s="208"/>
      <x:c r="U28" s="142"/>
      <x:c r="V28" s="142"/>
      <x:c r="W28" s="142"/>
    </x:row>
    <x:row r="29" ht="19" customHeight="1">
      <x:c r="A29" s="208"/>
      <x:c r="B29" s="208"/>
      <x:c r="C29" s="142"/>
      <x:c r="D29" s="142"/>
      <x:c r="E29" s="142"/>
      <x:c r="F29" s="142"/>
      <x:c r="G29" s="142"/>
      <x:c r="H29" s="142"/>
      <x:c r="I29" s="142"/>
      <x:c r="J29" s="142"/>
      <x:c r="K29" s="142"/>
      <x:c r="L29" s="142"/>
      <x:c r="M29" s="226"/>
      <x:c r="N29" s="226"/>
      <x:c r="O29" s="232" t="str">
        <x:f>IF(A29="","",M29-N29)</x:f>
      </x:c>
      <x:c r="P29" s="220"/>
      <x:c r="Q29" s="232" t="str">
        <x:f>IF(A29="","",O29*P29)</x:f>
      </x:c>
      <x:c r="R29" s="226"/>
      <x:c r="S29" s="232" t="str">
        <x:f>IF(A29="","",Q29-R29)</x:f>
      </x:c>
      <x:c r="T29" s="208"/>
      <x:c r="U29" s="142"/>
      <x:c r="V29" s="142"/>
      <x:c r="W29" s="142"/>
    </x:row>
    <x:row r="30" ht="19" customHeight="1">
      <x:c r="A30" s="208"/>
      <x:c r="B30" s="208"/>
      <x:c r="C30" s="142"/>
      <x:c r="D30" s="142"/>
      <x:c r="E30" s="142"/>
      <x:c r="F30" s="142"/>
      <x:c r="G30" s="142"/>
      <x:c r="H30" s="142"/>
      <x:c r="I30" s="142"/>
      <x:c r="J30" s="142"/>
      <x:c r="K30" s="142"/>
      <x:c r="L30" s="142"/>
      <x:c r="M30" s="226"/>
      <x:c r="N30" s="226"/>
      <x:c r="O30" s="232" t="str">
        <x:f>IF(A30="","",M30-N30)</x:f>
      </x:c>
      <x:c r="P30" s="220"/>
      <x:c r="Q30" s="232" t="str">
        <x:f>IF(A30="","",O30*P30)</x:f>
      </x:c>
      <x:c r="R30" s="226"/>
      <x:c r="S30" s="232" t="str">
        <x:f>IF(A30="","",Q30-R30)</x:f>
      </x:c>
      <x:c r="T30" s="208"/>
      <x:c r="U30" s="142"/>
      <x:c r="V30" s="142"/>
      <x:c r="W30" s="142"/>
    </x:row>
    <x:row r="31" ht="19" customHeight="1">
      <x:c r="A31" s="208"/>
      <x:c r="B31" s="208"/>
      <x:c r="C31" s="142"/>
      <x:c r="D31" s="142"/>
      <x:c r="E31" s="142"/>
      <x:c r="F31" s="142"/>
      <x:c r="G31" s="142"/>
      <x:c r="H31" s="142"/>
      <x:c r="I31" s="142"/>
      <x:c r="J31" s="142"/>
      <x:c r="K31" s="142"/>
      <x:c r="L31" s="142"/>
      <x:c r="M31" s="226"/>
      <x:c r="N31" s="226"/>
      <x:c r="O31" s="232" t="str">
        <x:f>IF(A31="","",M31-N31)</x:f>
      </x:c>
      <x:c r="P31" s="220"/>
      <x:c r="Q31" s="232" t="str">
        <x:f>IF(A31="","",O31*P31)</x:f>
      </x:c>
      <x:c r="R31" s="226"/>
      <x:c r="S31" s="232" t="str">
        <x:f>IF(A31="","",Q31-R31)</x:f>
      </x:c>
      <x:c r="T31" s="208"/>
      <x:c r="U31" s="142"/>
      <x:c r="V31" s="142"/>
      <x:c r="W31" s="142"/>
    </x:row>
    <x:row r="32" ht="19" customHeight="1">
      <x:c r="A32" s="208"/>
      <x:c r="B32" s="208"/>
      <x:c r="C32" s="142"/>
      <x:c r="D32" s="142"/>
      <x:c r="E32" s="142"/>
      <x:c r="F32" s="142"/>
      <x:c r="G32" s="142"/>
      <x:c r="H32" s="142"/>
      <x:c r="I32" s="142"/>
      <x:c r="J32" s="142"/>
      <x:c r="K32" s="142"/>
      <x:c r="L32" s="142"/>
      <x:c r="M32" s="226"/>
      <x:c r="N32" s="226"/>
      <x:c r="O32" s="232" t="str">
        <x:f>IF(A32="","",M32-N32)</x:f>
      </x:c>
      <x:c r="P32" s="220"/>
      <x:c r="Q32" s="232" t="str">
        <x:f>IF(A32="","",O32*P32)</x:f>
      </x:c>
      <x:c r="R32" s="226"/>
      <x:c r="S32" s="232" t="str">
        <x:f>IF(A32="","",Q32-R32)</x:f>
      </x:c>
      <x:c r="T32" s="208"/>
      <x:c r="U32" s="142"/>
      <x:c r="V32" s="142"/>
      <x:c r="W32" s="142"/>
    </x:row>
    <x:row r="33" ht="19" customHeight="1">
      <x:c r="A33" s="208"/>
      <x:c r="B33" s="208"/>
      <x:c r="C33" s="142"/>
      <x:c r="D33" s="142"/>
      <x:c r="E33" s="142"/>
      <x:c r="F33" s="142"/>
      <x:c r="G33" s="142"/>
      <x:c r="H33" s="142"/>
      <x:c r="I33" s="142"/>
      <x:c r="J33" s="142"/>
      <x:c r="K33" s="142"/>
      <x:c r="L33" s="142"/>
      <x:c r="M33" s="226"/>
      <x:c r="N33" s="226"/>
      <x:c r="O33" s="232" t="str">
        <x:f>IF(A33="","",M33-N33)</x:f>
      </x:c>
      <x:c r="P33" s="220"/>
      <x:c r="Q33" s="232" t="str">
        <x:f>IF(A33="","",O33*P33)</x:f>
      </x:c>
      <x:c r="R33" s="226"/>
      <x:c r="S33" s="232" t="str">
        <x:f>IF(A33="","",Q33-R33)</x:f>
      </x:c>
      <x:c r="T33" s="208"/>
      <x:c r="U33" s="142"/>
      <x:c r="V33" s="142"/>
      <x:c r="W33" s="142"/>
    </x:row>
    <x:row r="34" ht="19" customHeight="1">
      <x:c r="A34" s="208"/>
      <x:c r="B34" s="208"/>
      <x:c r="C34" s="142"/>
      <x:c r="D34" s="142"/>
      <x:c r="E34" s="142"/>
      <x:c r="F34" s="142"/>
      <x:c r="G34" s="142"/>
      <x:c r="H34" s="142"/>
      <x:c r="I34" s="142"/>
      <x:c r="J34" s="142"/>
      <x:c r="K34" s="142"/>
      <x:c r="L34" s="142"/>
      <x:c r="M34" s="226"/>
      <x:c r="N34" s="226"/>
      <x:c r="O34" s="232" t="str">
        <x:f>IF(A34="","",M34-N34)</x:f>
      </x:c>
      <x:c r="P34" s="220"/>
      <x:c r="Q34" s="232" t="str">
        <x:f>IF(A34="","",O34*P34)</x:f>
      </x:c>
      <x:c r="R34" s="226"/>
      <x:c r="S34" s="232" t="str">
        <x:f>IF(A34="","",Q34-R34)</x:f>
      </x:c>
      <x:c r="T34" s="208"/>
      <x:c r="U34" s="142"/>
      <x:c r="V34" s="142"/>
      <x:c r="W34" s="142"/>
    </x:row>
    <x:row r="35" ht="19" customHeight="1">
      <x:c r="A35" s="208"/>
      <x:c r="B35" s="208"/>
      <x:c r="C35" s="142"/>
      <x:c r="D35" s="142"/>
      <x:c r="E35" s="142"/>
      <x:c r="F35" s="142"/>
      <x:c r="G35" s="142"/>
      <x:c r="H35" s="142"/>
      <x:c r="I35" s="142"/>
      <x:c r="J35" s="142"/>
      <x:c r="K35" s="142"/>
      <x:c r="L35" s="142"/>
      <x:c r="M35" s="226"/>
      <x:c r="N35" s="226"/>
      <x:c r="O35" s="232" t="str">
        <x:f>IF(A35="","",M35-N35)</x:f>
      </x:c>
      <x:c r="P35" s="220"/>
      <x:c r="Q35" s="232" t="str">
        <x:f>IF(A35="","",O35*P35)</x:f>
      </x:c>
      <x:c r="R35" s="226"/>
      <x:c r="S35" s="232" t="str">
        <x:f>IF(A35="","",Q35-R35)</x:f>
      </x:c>
      <x:c r="T35" s="208"/>
      <x:c r="U35" s="142"/>
      <x:c r="V35" s="142"/>
      <x:c r="W35" s="142"/>
    </x:row>
    <x:row r="36" ht="19" customHeight="1">
      <x:c r="A36" s="208"/>
      <x:c r="B36" s="208"/>
      <x:c r="C36" s="142"/>
      <x:c r="D36" s="142"/>
      <x:c r="E36" s="142"/>
      <x:c r="F36" s="142"/>
      <x:c r="G36" s="142"/>
      <x:c r="H36" s="142"/>
      <x:c r="I36" s="142"/>
      <x:c r="J36" s="142"/>
      <x:c r="K36" s="142"/>
      <x:c r="L36" s="142"/>
      <x:c r="M36" s="226"/>
      <x:c r="N36" s="226"/>
      <x:c r="O36" s="232" t="str">
        <x:f>IF(A36="","",M36-N36)</x:f>
      </x:c>
      <x:c r="P36" s="220"/>
      <x:c r="Q36" s="232" t="str">
        <x:f>IF(A36="","",O36*P36)</x:f>
      </x:c>
      <x:c r="R36" s="226"/>
      <x:c r="S36" s="232" t="str">
        <x:f>IF(A36="","",Q36-R36)</x:f>
      </x:c>
      <x:c r="T36" s="208"/>
      <x:c r="U36" s="142"/>
      <x:c r="V36" s="142"/>
      <x:c r="W36" s="142"/>
    </x:row>
    <x:row r="37" ht="19" customHeight="1">
      <x:c r="A37" s="208"/>
      <x:c r="B37" s="208"/>
      <x:c r="C37" s="142"/>
      <x:c r="D37" s="142"/>
      <x:c r="E37" s="142"/>
      <x:c r="F37" s="142"/>
      <x:c r="G37" s="142"/>
      <x:c r="H37" s="142"/>
      <x:c r="I37" s="142"/>
      <x:c r="J37" s="142"/>
      <x:c r="K37" s="142"/>
      <x:c r="L37" s="142"/>
      <x:c r="M37" s="226"/>
      <x:c r="N37" s="226"/>
      <x:c r="O37" s="232" t="str">
        <x:f>IF(A37="","",M37-N37)</x:f>
      </x:c>
      <x:c r="P37" s="220"/>
      <x:c r="Q37" s="232" t="str">
        <x:f>IF(A37="","",O37*P37)</x:f>
      </x:c>
      <x:c r="R37" s="226"/>
      <x:c r="S37" s="232" t="str">
        <x:f>IF(A37="","",Q37-R37)</x:f>
      </x:c>
      <x:c r="T37" s="208"/>
      <x:c r="U37" s="142"/>
      <x:c r="V37" s="142"/>
      <x:c r="W37" s="142"/>
    </x:row>
    <x:row r="38" ht="19" customHeight="1">
      <x:c r="A38" s="208"/>
      <x:c r="B38" s="208"/>
      <x:c r="C38" s="142"/>
      <x:c r="D38" s="142"/>
      <x:c r="E38" s="142"/>
      <x:c r="F38" s="142"/>
      <x:c r="G38" s="142"/>
      <x:c r="H38" s="142"/>
      <x:c r="I38" s="142"/>
      <x:c r="J38" s="142"/>
      <x:c r="K38" s="142"/>
      <x:c r="L38" s="142"/>
      <x:c r="M38" s="226"/>
      <x:c r="N38" s="226"/>
      <x:c r="O38" s="232" t="str">
        <x:f>IF(A38="","",M38-N38)</x:f>
      </x:c>
      <x:c r="P38" s="220"/>
      <x:c r="Q38" s="232" t="str">
        <x:f>IF(A38="","",O38*P38)</x:f>
      </x:c>
      <x:c r="R38" s="226"/>
      <x:c r="S38" s="232" t="str">
        <x:f>IF(A38="","",Q38-R38)</x:f>
      </x:c>
      <x:c r="T38" s="208"/>
      <x:c r="U38" s="142"/>
      <x:c r="V38" s="142"/>
      <x:c r="W38" s="142"/>
    </x:row>
    <x:row r="39" ht="19" customHeight="1">
      <x:c r="A39" s="208"/>
      <x:c r="B39" s="208"/>
      <x:c r="C39" s="142"/>
      <x:c r="D39" s="142"/>
      <x:c r="E39" s="142"/>
      <x:c r="F39" s="142"/>
      <x:c r="G39" s="142"/>
      <x:c r="H39" s="142"/>
      <x:c r="I39" s="142"/>
      <x:c r="J39" s="142"/>
      <x:c r="K39" s="142"/>
      <x:c r="L39" s="142"/>
      <x:c r="M39" s="226"/>
      <x:c r="N39" s="226"/>
      <x:c r="O39" s="232" t="str">
        <x:f>IF(A39="","",M39-N39)</x:f>
      </x:c>
      <x:c r="P39" s="220"/>
      <x:c r="Q39" s="232" t="str">
        <x:f>IF(A39="","",O39*P39)</x:f>
      </x:c>
      <x:c r="R39" s="226"/>
      <x:c r="S39" s="232" t="str">
        <x:f>IF(A39="","",Q39-R39)</x:f>
      </x:c>
      <x:c r="T39" s="208"/>
      <x:c r="U39" s="142"/>
      <x:c r="V39" s="142"/>
      <x:c r="W39" s="142"/>
    </x:row>
    <x:row r="40" ht="19" customHeight="1">
      <x:c r="A40" s="208"/>
      <x:c r="B40" s="208"/>
      <x:c r="C40" s="142"/>
      <x:c r="D40" s="142"/>
      <x:c r="E40" s="142"/>
      <x:c r="F40" s="142"/>
      <x:c r="G40" s="142"/>
      <x:c r="H40" s="142"/>
      <x:c r="I40" s="142"/>
      <x:c r="J40" s="142"/>
      <x:c r="K40" s="142"/>
      <x:c r="L40" s="142"/>
      <x:c r="M40" s="226"/>
      <x:c r="N40" s="226"/>
      <x:c r="O40" s="232" t="str">
        <x:f>IF(A40="","",M40-N40)</x:f>
      </x:c>
      <x:c r="P40" s="220"/>
      <x:c r="Q40" s="232" t="str">
        <x:f>IF(A40="","",O40*P40)</x:f>
      </x:c>
      <x:c r="R40" s="226"/>
      <x:c r="S40" s="232" t="str">
        <x:f>IF(A40="","",Q40-R40)</x:f>
      </x:c>
      <x:c r="T40" s="208"/>
      <x:c r="U40" s="142"/>
      <x:c r="V40" s="142"/>
      <x:c r="W40" s="142"/>
    </x:row>
    <x:row r="41" ht="19" customHeight="1">
      <x:c r="A41" s="208"/>
      <x:c r="B41" s="208"/>
      <x:c r="C41" s="142"/>
      <x:c r="D41" s="142"/>
      <x:c r="E41" s="142"/>
      <x:c r="F41" s="142"/>
      <x:c r="G41" s="142"/>
      <x:c r="H41" s="142"/>
      <x:c r="I41" s="142"/>
      <x:c r="J41" s="142"/>
      <x:c r="K41" s="142"/>
      <x:c r="L41" s="142"/>
      <x:c r="M41" s="226"/>
      <x:c r="N41" s="226"/>
      <x:c r="O41" s="232" t="str">
        <x:f>IF(A41="","",M41-N41)</x:f>
      </x:c>
      <x:c r="P41" s="220"/>
      <x:c r="Q41" s="232" t="str">
        <x:f>IF(A41="","",O41*P41)</x:f>
      </x:c>
      <x:c r="R41" s="226"/>
      <x:c r="S41" s="232" t="str">
        <x:f>IF(A41="","",Q41-R41)</x:f>
      </x:c>
      <x:c r="T41" s="208"/>
      <x:c r="U41" s="142"/>
      <x:c r="V41" s="142"/>
      <x:c r="W41" s="142"/>
    </x:row>
    <x:row r="42" ht="19" customHeight="1">
      <x:c r="A42" s="208"/>
      <x:c r="B42" s="208"/>
      <x:c r="C42" s="142"/>
      <x:c r="D42" s="142"/>
      <x:c r="E42" s="142"/>
      <x:c r="F42" s="142"/>
      <x:c r="G42" s="142"/>
      <x:c r="H42" s="142"/>
      <x:c r="I42" s="142"/>
      <x:c r="J42" s="142"/>
      <x:c r="K42" s="142"/>
      <x:c r="L42" s="142"/>
      <x:c r="M42" s="226"/>
      <x:c r="N42" s="226"/>
      <x:c r="O42" s="232" t="str">
        <x:f>IF(A42="","",M42-N42)</x:f>
      </x:c>
      <x:c r="P42" s="220"/>
      <x:c r="Q42" s="232" t="str">
        <x:f>IF(A42="","",O42*P42)</x:f>
      </x:c>
      <x:c r="R42" s="226"/>
      <x:c r="S42" s="232" t="str">
        <x:f>IF(A42="","",Q42-R42)</x:f>
      </x:c>
      <x:c r="T42" s="208"/>
      <x:c r="U42" s="142"/>
      <x:c r="V42" s="142"/>
      <x:c r="W42" s="142"/>
    </x:row>
    <x:row r="43" ht="19" customHeight="1">
      <x:c r="A43" s="208"/>
      <x:c r="B43" s="208"/>
      <x:c r="C43" s="142"/>
      <x:c r="D43" s="142"/>
      <x:c r="E43" s="142"/>
      <x:c r="F43" s="142"/>
      <x:c r="G43" s="142"/>
      <x:c r="H43" s="142"/>
      <x:c r="I43" s="142"/>
      <x:c r="J43" s="142"/>
      <x:c r="K43" s="142"/>
      <x:c r="L43" s="142"/>
      <x:c r="M43" s="226"/>
      <x:c r="N43" s="226"/>
      <x:c r="O43" s="232" t="str">
        <x:f>IF(A43="","",M43-N43)</x:f>
      </x:c>
      <x:c r="P43" s="220"/>
      <x:c r="Q43" s="232" t="str">
        <x:f>IF(A43="","",O43*P43)</x:f>
      </x:c>
      <x:c r="R43" s="226"/>
      <x:c r="S43" s="232" t="str">
        <x:f>IF(A43="","",Q43-R43)</x:f>
      </x:c>
      <x:c r="T43" s="208"/>
      <x:c r="U43" s="142"/>
      <x:c r="V43" s="142"/>
      <x:c r="W43" s="142"/>
    </x:row>
    <x:row r="44" ht="19" customHeight="1">
      <x:c r="A44" s="208"/>
      <x:c r="B44" s="208"/>
      <x:c r="C44" s="142"/>
      <x:c r="D44" s="142"/>
      <x:c r="E44" s="142"/>
      <x:c r="F44" s="142"/>
      <x:c r="G44" s="142"/>
      <x:c r="H44" s="142"/>
      <x:c r="I44" s="142"/>
      <x:c r="J44" s="142"/>
      <x:c r="K44" s="142"/>
      <x:c r="L44" s="142"/>
      <x:c r="M44" s="226"/>
      <x:c r="N44" s="226"/>
      <x:c r="O44" s="232" t="str">
        <x:f>IF(A44="","",M44-N44)</x:f>
      </x:c>
      <x:c r="P44" s="220"/>
      <x:c r="Q44" s="232" t="str">
        <x:f>IF(A44="","",O44*P44)</x:f>
      </x:c>
      <x:c r="R44" s="226"/>
      <x:c r="S44" s="232" t="str">
        <x:f>IF(A44="","",Q44-R44)</x:f>
      </x:c>
      <x:c r="T44" s="208"/>
      <x:c r="U44" s="142"/>
      <x:c r="V44" s="142"/>
      <x:c r="W44" s="142"/>
    </x:row>
    <x:row r="45" ht="19" customHeight="1">
      <x:c r="A45" s="208"/>
      <x:c r="B45" s="208"/>
      <x:c r="C45" s="142"/>
      <x:c r="D45" s="142"/>
      <x:c r="E45" s="142"/>
      <x:c r="F45" s="142"/>
      <x:c r="G45" s="142"/>
      <x:c r="H45" s="142"/>
      <x:c r="I45" s="142"/>
      <x:c r="J45" s="142"/>
      <x:c r="K45" s="142"/>
      <x:c r="L45" s="142"/>
      <x:c r="M45" s="226"/>
      <x:c r="N45" s="226"/>
      <x:c r="O45" s="232" t="str">
        <x:f>IF(A45="","",M45-N45)</x:f>
      </x:c>
      <x:c r="P45" s="220"/>
      <x:c r="Q45" s="232" t="str">
        <x:f>IF(A45="","",O45*P45)</x:f>
      </x:c>
      <x:c r="R45" s="226"/>
      <x:c r="S45" s="232" t="str">
        <x:f>IF(A45="","",Q45-R45)</x:f>
      </x:c>
      <x:c r="T45" s="208"/>
      <x:c r="U45" s="142"/>
      <x:c r="V45" s="142"/>
      <x:c r="W45" s="142"/>
    </x:row>
    <x:row r="46" ht="19" customHeight="1">
      <x:c r="A46" s="208"/>
      <x:c r="B46" s="208"/>
      <x:c r="C46" s="142"/>
      <x:c r="D46" s="142"/>
      <x:c r="E46" s="142"/>
      <x:c r="F46" s="142"/>
      <x:c r="G46" s="142"/>
      <x:c r="H46" s="142"/>
      <x:c r="I46" s="142"/>
      <x:c r="J46" s="142"/>
      <x:c r="K46" s="142"/>
      <x:c r="L46" s="142"/>
      <x:c r="M46" s="226"/>
      <x:c r="N46" s="226"/>
      <x:c r="O46" s="232" t="str">
        <x:f>IF(A46="","",M46-N46)</x:f>
      </x:c>
      <x:c r="P46" s="220"/>
      <x:c r="Q46" s="232" t="str">
        <x:f>IF(A46="","",O46*P46)</x:f>
      </x:c>
      <x:c r="R46" s="226"/>
      <x:c r="S46" s="232" t="str">
        <x:f>IF(A46="","",Q46-R46)</x:f>
      </x:c>
      <x:c r="T46" s="208"/>
      <x:c r="U46" s="142"/>
      <x:c r="V46" s="142"/>
      <x:c r="W46" s="142"/>
    </x:row>
    <x:row r="47" ht="19" customHeight="1">
      <x:c r="A47" s="208"/>
      <x:c r="B47" s="208"/>
      <x:c r="C47" s="142"/>
      <x:c r="D47" s="142"/>
      <x:c r="E47" s="142"/>
      <x:c r="F47" s="142"/>
      <x:c r="G47" s="142"/>
      <x:c r="H47" s="142"/>
      <x:c r="I47" s="142"/>
      <x:c r="J47" s="142"/>
      <x:c r="K47" s="142"/>
      <x:c r="L47" s="142"/>
      <x:c r="M47" s="226"/>
      <x:c r="N47" s="226"/>
      <x:c r="O47" s="232" t="str">
        <x:f>IF(A47="","",M47-N47)</x:f>
      </x:c>
      <x:c r="P47" s="220"/>
      <x:c r="Q47" s="232" t="str">
        <x:f>IF(A47="","",O47*P47)</x:f>
      </x:c>
      <x:c r="R47" s="226"/>
      <x:c r="S47" s="232" t="str">
        <x:f>IF(A47="","",Q47-R47)</x:f>
      </x:c>
      <x:c r="T47" s="208"/>
      <x:c r="U47" s="142"/>
      <x:c r="V47" s="142"/>
      <x:c r="W47" s="142"/>
    </x:row>
    <x:row r="48" ht="19" customHeight="1">
      <x:c r="A48" s="208"/>
      <x:c r="B48" s="208"/>
      <x:c r="C48" s="142"/>
      <x:c r="D48" s="142"/>
      <x:c r="E48" s="142"/>
      <x:c r="F48" s="142"/>
      <x:c r="G48" s="142"/>
      <x:c r="H48" s="142"/>
      <x:c r="I48" s="142"/>
      <x:c r="J48" s="142"/>
      <x:c r="K48" s="142"/>
      <x:c r="L48" s="142"/>
      <x:c r="M48" s="226"/>
      <x:c r="N48" s="226"/>
      <x:c r="O48" s="232" t="str">
        <x:f>IF(A48="","",M48-N48)</x:f>
      </x:c>
      <x:c r="P48" s="220"/>
      <x:c r="Q48" s="232" t="str">
        <x:f>IF(A48="","",O48*P48)</x:f>
      </x:c>
      <x:c r="R48" s="226"/>
      <x:c r="S48" s="232" t="str">
        <x:f>IF(A48="","",Q48-R48)</x:f>
      </x:c>
      <x:c r="T48" s="208"/>
      <x:c r="U48" s="142"/>
      <x:c r="V48" s="142"/>
      <x:c r="W48" s="142"/>
    </x:row>
    <x:row r="49" ht="19" customHeight="1">
      <x:c r="A49" s="208"/>
      <x:c r="B49" s="208"/>
      <x:c r="C49" s="142"/>
      <x:c r="D49" s="142"/>
      <x:c r="E49" s="142"/>
      <x:c r="F49" s="142"/>
      <x:c r="G49" s="142"/>
      <x:c r="H49" s="142"/>
      <x:c r="I49" s="142"/>
      <x:c r="J49" s="142"/>
      <x:c r="K49" s="142"/>
      <x:c r="L49" s="142"/>
      <x:c r="M49" s="226"/>
      <x:c r="N49" s="226"/>
      <x:c r="O49" s="232" t="str">
        <x:f>IF(A49="","",M49-N49)</x:f>
      </x:c>
      <x:c r="P49" s="220"/>
      <x:c r="Q49" s="232" t="str">
        <x:f>IF(A49="","",O49*P49)</x:f>
      </x:c>
      <x:c r="R49" s="226"/>
      <x:c r="S49" s="232" t="str">
        <x:f>IF(A49="","",Q49-R49)</x:f>
      </x:c>
      <x:c r="T49" s="208"/>
      <x:c r="U49" s="142"/>
      <x:c r="V49" s="142"/>
      <x:c r="W49" s="142"/>
    </x:row>
    <x:row r="50" ht="19" customHeight="1">
      <x:c r="A50" s="208"/>
      <x:c r="B50" s="208"/>
      <x:c r="C50" s="142"/>
      <x:c r="D50" s="142"/>
      <x:c r="E50" s="142"/>
      <x:c r="F50" s="142"/>
      <x:c r="G50" s="142"/>
      <x:c r="H50" s="142"/>
      <x:c r="I50" s="142"/>
      <x:c r="J50" s="142"/>
      <x:c r="K50" s="142"/>
      <x:c r="L50" s="142"/>
      <x:c r="M50" s="226"/>
      <x:c r="N50" s="226"/>
      <x:c r="O50" s="232" t="str">
        <x:f>IF(A50="","",M50-N50)</x:f>
      </x:c>
      <x:c r="P50" s="220"/>
      <x:c r="Q50" s="232" t="str">
        <x:f>IF(A50="","",O50*P50)</x:f>
      </x:c>
      <x:c r="R50" s="226"/>
      <x:c r="S50" s="232" t="str">
        <x:f>IF(A50="","",Q50-R50)</x:f>
      </x:c>
      <x:c r="T50" s="208"/>
      <x:c r="U50" s="142"/>
      <x:c r="V50" s="142"/>
      <x:c r="W50" s="142"/>
    </x:row>
    <x:row r="51" ht="19" customHeight="1">
      <x:c r="A51" s="208"/>
      <x:c r="B51" s="208"/>
      <x:c r="C51" s="142"/>
      <x:c r="D51" s="142"/>
      <x:c r="E51" s="142"/>
      <x:c r="F51" s="142"/>
      <x:c r="G51" s="142"/>
      <x:c r="H51" s="142"/>
      <x:c r="I51" s="142"/>
      <x:c r="J51" s="142"/>
      <x:c r="K51" s="142"/>
      <x:c r="L51" s="142"/>
      <x:c r="M51" s="226"/>
      <x:c r="N51" s="226"/>
      <x:c r="O51" s="232" t="str">
        <x:f>IF(A51="","",M51-N51)</x:f>
      </x:c>
      <x:c r="P51" s="220"/>
      <x:c r="Q51" s="232" t="str">
        <x:f>IF(A51="","",O51*P51)</x:f>
      </x:c>
      <x:c r="R51" s="226"/>
      <x:c r="S51" s="232" t="str">
        <x:f>IF(A51="","",Q51-R51)</x:f>
      </x:c>
      <x:c r="T51" s="208"/>
      <x:c r="U51" s="142"/>
      <x:c r="V51" s="142"/>
      <x:c r="W51" s="142"/>
    </x:row>
    <x:row r="52" ht="19" customHeight="1">
      <x:c r="A52" s="208"/>
      <x:c r="B52" s="208"/>
      <x:c r="C52" s="142"/>
      <x:c r="D52" s="142"/>
      <x:c r="E52" s="142"/>
      <x:c r="F52" s="142"/>
      <x:c r="G52" s="142"/>
      <x:c r="H52" s="142"/>
      <x:c r="I52" s="142"/>
      <x:c r="J52" s="142"/>
      <x:c r="K52" s="142"/>
      <x:c r="L52" s="142"/>
      <x:c r="M52" s="226"/>
      <x:c r="N52" s="226"/>
      <x:c r="O52" s="232" t="str">
        <x:f>IF(A52="","",M52-N52)</x:f>
      </x:c>
      <x:c r="P52" s="220"/>
      <x:c r="Q52" s="232" t="str">
        <x:f>IF(A52="","",O52*P52)</x:f>
      </x:c>
      <x:c r="R52" s="226"/>
      <x:c r="S52" s="232" t="str">
        <x:f>IF(A52="","",Q52-R52)</x:f>
      </x:c>
      <x:c r="T52" s="208"/>
      <x:c r="U52" s="142"/>
      <x:c r="V52" s="142"/>
      <x:c r="W52" s="142"/>
    </x:row>
    <x:row r="53" ht="19" customHeight="1">
      <x:c r="A53" s="208"/>
      <x:c r="B53" s="208"/>
      <x:c r="C53" s="142"/>
      <x:c r="D53" s="142"/>
      <x:c r="E53" s="142"/>
      <x:c r="F53" s="142"/>
      <x:c r="G53" s="142"/>
      <x:c r="H53" s="142"/>
      <x:c r="I53" s="142"/>
      <x:c r="J53" s="142"/>
      <x:c r="K53" s="142"/>
      <x:c r="L53" s="142"/>
      <x:c r="M53" s="226"/>
      <x:c r="N53" s="226"/>
      <x:c r="O53" s="232" t="str">
        <x:f>IF(A53="","",M53-N53)</x:f>
      </x:c>
      <x:c r="P53" s="220"/>
      <x:c r="Q53" s="232" t="str">
        <x:f>IF(A53="","",O53*P53)</x:f>
      </x:c>
      <x:c r="R53" s="226"/>
      <x:c r="S53" s="232" t="str">
        <x:f>IF(A53="","",Q53-R53)</x:f>
      </x:c>
      <x:c r="T53" s="208"/>
      <x:c r="U53" s="142"/>
      <x:c r="V53" s="142"/>
      <x:c r="W53" s="142"/>
    </x:row>
    <x:row r="54" ht="19" customHeight="1">
      <x:c r="A54" s="208"/>
      <x:c r="B54" s="208"/>
      <x:c r="C54" s="142"/>
      <x:c r="D54" s="142"/>
      <x:c r="E54" s="142"/>
      <x:c r="F54" s="142"/>
      <x:c r="G54" s="142"/>
      <x:c r="H54" s="142"/>
      <x:c r="I54" s="142"/>
      <x:c r="J54" s="142"/>
      <x:c r="K54" s="142"/>
      <x:c r="L54" s="142"/>
      <x:c r="M54" s="226"/>
      <x:c r="N54" s="226"/>
      <x:c r="O54" s="232" t="str">
        <x:f>IF(A54="","",M54-N54)</x:f>
      </x:c>
      <x:c r="P54" s="220"/>
      <x:c r="Q54" s="232" t="str">
        <x:f>IF(A54="","",O54*P54)</x:f>
      </x:c>
      <x:c r="R54" s="226"/>
      <x:c r="S54" s="232" t="str">
        <x:f>IF(A54="","",Q54-R54)</x:f>
      </x:c>
      <x:c r="T54" s="208"/>
      <x:c r="U54" s="142"/>
      <x:c r="V54" s="142"/>
      <x:c r="W54" s="142"/>
    </x:row>
    <x:row r="55" ht="19" customHeight="1">
      <x:c r="A55" s="208"/>
      <x:c r="B55" s="208"/>
      <x:c r="C55" s="142"/>
      <x:c r="D55" s="142"/>
      <x:c r="E55" s="142"/>
      <x:c r="F55" s="142"/>
      <x:c r="G55" s="142"/>
      <x:c r="H55" s="142"/>
      <x:c r="I55" s="142"/>
      <x:c r="J55" s="142"/>
      <x:c r="K55" s="142"/>
      <x:c r="L55" s="142"/>
      <x:c r="M55" s="226"/>
      <x:c r="N55" s="226"/>
      <x:c r="O55" s="232" t="str">
        <x:f>IF(A55="","",M55-N55)</x:f>
      </x:c>
      <x:c r="P55" s="220"/>
      <x:c r="Q55" s="232" t="str">
        <x:f>IF(A55="","",O55*P55)</x:f>
      </x:c>
      <x:c r="R55" s="226"/>
      <x:c r="S55" s="232" t="str">
        <x:f>IF(A55="","",Q55-R55)</x:f>
      </x:c>
      <x:c r="T55" s="208"/>
      <x:c r="U55" s="142"/>
      <x:c r="V55" s="142"/>
      <x:c r="W55" s="142"/>
    </x:row>
    <x:row r="56" ht="19" customHeight="1">
      <x:c r="A56" s="208"/>
      <x:c r="B56" s="208"/>
      <x:c r="C56" s="142"/>
      <x:c r="D56" s="142"/>
      <x:c r="E56" s="142"/>
      <x:c r="F56" s="142"/>
      <x:c r="G56" s="142"/>
      <x:c r="H56" s="142"/>
      <x:c r="I56" s="142"/>
      <x:c r="J56" s="142"/>
      <x:c r="K56" s="142"/>
      <x:c r="L56" s="142"/>
      <x:c r="M56" s="226"/>
      <x:c r="N56" s="226"/>
      <x:c r="O56" s="232" t="str">
        <x:f>IF(A56="","",M56-N56)</x:f>
      </x:c>
      <x:c r="P56" s="220"/>
      <x:c r="Q56" s="232" t="str">
        <x:f>IF(A56="","",O56*P56)</x:f>
      </x:c>
      <x:c r="R56" s="226"/>
      <x:c r="S56" s="232" t="str">
        <x:f>IF(A56="","",Q56-R56)</x:f>
      </x:c>
      <x:c r="T56" s="208"/>
      <x:c r="U56" s="142"/>
      <x:c r="V56" s="142"/>
      <x:c r="W56" s="142"/>
    </x:row>
    <x:row r="57" ht="19" customHeight="1">
      <x:c r="A57" s="208"/>
      <x:c r="B57" s="208"/>
      <x:c r="C57" s="142"/>
      <x:c r="D57" s="142"/>
      <x:c r="E57" s="142"/>
      <x:c r="F57" s="142"/>
      <x:c r="G57" s="142"/>
      <x:c r="H57" s="142"/>
      <x:c r="I57" s="142"/>
      <x:c r="J57" s="142"/>
      <x:c r="K57" s="142"/>
      <x:c r="L57" s="142"/>
      <x:c r="M57" s="226"/>
      <x:c r="N57" s="226"/>
      <x:c r="O57" s="232" t="str">
        <x:f>IF(A57="","",M57-N57)</x:f>
      </x:c>
      <x:c r="P57" s="220"/>
      <x:c r="Q57" s="232" t="str">
        <x:f>IF(A57="","",O57*P57)</x:f>
      </x:c>
      <x:c r="R57" s="226"/>
      <x:c r="S57" s="232" t="str">
        <x:f>IF(A57="","",Q57-R57)</x:f>
      </x:c>
      <x:c r="T57" s="208"/>
      <x:c r="U57" s="142"/>
      <x:c r="V57" s="142"/>
      <x:c r="W57" s="142"/>
    </x:row>
    <x:row r="58" ht="19" customHeight="1">
      <x:c r="A58" s="208"/>
      <x:c r="B58" s="208"/>
      <x:c r="C58" s="142"/>
      <x:c r="D58" s="142"/>
      <x:c r="E58" s="142"/>
      <x:c r="F58" s="142"/>
      <x:c r="G58" s="142"/>
      <x:c r="H58" s="142"/>
      <x:c r="I58" s="142"/>
      <x:c r="J58" s="142"/>
      <x:c r="K58" s="142"/>
      <x:c r="L58" s="142"/>
      <x:c r="M58" s="226"/>
      <x:c r="N58" s="226"/>
      <x:c r="O58" s="232" t="str">
        <x:f>IF(A58="","",M58-N58)</x:f>
      </x:c>
      <x:c r="P58" s="220"/>
      <x:c r="Q58" s="232" t="str">
        <x:f>IF(A58="","",O58*P58)</x:f>
      </x:c>
      <x:c r="R58" s="226"/>
      <x:c r="S58" s="232" t="str">
        <x:f>IF(A58="","",Q58-R58)</x:f>
      </x:c>
      <x:c r="T58" s="208"/>
      <x:c r="U58" s="142"/>
      <x:c r="V58" s="142"/>
      <x:c r="W58" s="142"/>
    </x:row>
    <x:row r="59" ht="19" customHeight="1">
      <x:c r="A59" s="208"/>
      <x:c r="B59" s="208"/>
      <x:c r="C59" s="142"/>
      <x:c r="D59" s="142"/>
      <x:c r="E59" s="142"/>
      <x:c r="F59" s="142"/>
      <x:c r="G59" s="142"/>
      <x:c r="H59" s="142"/>
      <x:c r="I59" s="142"/>
      <x:c r="J59" s="142"/>
      <x:c r="K59" s="142"/>
      <x:c r="L59" s="142"/>
      <x:c r="M59" s="226"/>
      <x:c r="N59" s="226"/>
      <x:c r="O59" s="232" t="str">
        <x:f>IF(A59="","",M59-N59)</x:f>
      </x:c>
      <x:c r="P59" s="220"/>
      <x:c r="Q59" s="232" t="str">
        <x:f>IF(A59="","",O59*P59)</x:f>
      </x:c>
      <x:c r="R59" s="226"/>
      <x:c r="S59" s="232" t="str">
        <x:f>IF(A59="","",Q59-R59)</x:f>
      </x:c>
      <x:c r="T59" s="208"/>
      <x:c r="U59" s="142"/>
      <x:c r="V59" s="142"/>
      <x:c r="W59" s="142"/>
    </x:row>
    <x:row r="60" ht="19" customHeight="1">
      <x:c r="A60" s="208"/>
      <x:c r="B60" s="208"/>
      <x:c r="C60" s="142"/>
      <x:c r="D60" s="142"/>
      <x:c r="E60" s="142"/>
      <x:c r="F60" s="142"/>
      <x:c r="G60" s="142"/>
      <x:c r="H60" s="142"/>
      <x:c r="I60" s="142"/>
      <x:c r="J60" s="142"/>
      <x:c r="K60" s="142"/>
      <x:c r="L60" s="142"/>
      <x:c r="M60" s="226"/>
      <x:c r="N60" s="226"/>
      <x:c r="O60" s="232" t="str">
        <x:f>IF(A60="","",M60-N60)</x:f>
      </x:c>
      <x:c r="P60" s="220"/>
      <x:c r="Q60" s="232" t="str">
        <x:f>IF(A60="","",O60*P60)</x:f>
      </x:c>
      <x:c r="R60" s="226"/>
      <x:c r="S60" s="232" t="str">
        <x:f>IF(A60="","",Q60-R60)</x:f>
      </x:c>
      <x:c r="T60" s="208"/>
      <x:c r="U60" s="142"/>
      <x:c r="V60" s="142"/>
      <x:c r="W60" s="142"/>
    </x:row>
    <x:row r="61" ht="19" customHeight="1">
      <x:c r="A61" s="208"/>
      <x:c r="B61" s="208"/>
      <x:c r="C61" s="142"/>
      <x:c r="D61" s="142"/>
      <x:c r="E61" s="142"/>
      <x:c r="F61" s="142"/>
      <x:c r="G61" s="142"/>
      <x:c r="H61" s="142"/>
      <x:c r="I61" s="142"/>
      <x:c r="J61" s="142"/>
      <x:c r="K61" s="142"/>
      <x:c r="L61" s="142"/>
      <x:c r="M61" s="226"/>
      <x:c r="N61" s="226"/>
      <x:c r="O61" s="232" t="str">
        <x:f>IF(A61="","",M61-N61)</x:f>
      </x:c>
      <x:c r="P61" s="220"/>
      <x:c r="Q61" s="232" t="str">
        <x:f>IF(A61="","",O61*P61)</x:f>
      </x:c>
      <x:c r="R61" s="226"/>
      <x:c r="S61" s="232" t="str">
        <x:f>IF(A61="","",Q61-R61)</x:f>
      </x:c>
      <x:c r="T61" s="208"/>
      <x:c r="U61" s="142"/>
      <x:c r="V61" s="142"/>
      <x:c r="W61" s="142"/>
    </x:row>
    <x:row r="62" ht="19" customHeight="1">
      <x:c r="A62" s="208"/>
      <x:c r="B62" s="208"/>
      <x:c r="C62" s="142"/>
      <x:c r="D62" s="142"/>
      <x:c r="E62" s="142"/>
      <x:c r="F62" s="142"/>
      <x:c r="G62" s="142"/>
      <x:c r="H62" s="142"/>
      <x:c r="I62" s="142"/>
      <x:c r="J62" s="142"/>
      <x:c r="K62" s="142"/>
      <x:c r="L62" s="142"/>
      <x:c r="M62" s="226"/>
      <x:c r="N62" s="226"/>
      <x:c r="O62" s="232" t="str">
        <x:f>IF(A62="","",M62-N62)</x:f>
      </x:c>
      <x:c r="P62" s="220"/>
      <x:c r="Q62" s="232" t="str">
        <x:f>IF(A62="","",O62*P62)</x:f>
      </x:c>
      <x:c r="R62" s="226"/>
      <x:c r="S62" s="232" t="str">
        <x:f>IF(A62="","",Q62-R62)</x:f>
      </x:c>
      <x:c r="T62" s="208"/>
      <x:c r="U62" s="142"/>
      <x:c r="V62" s="142"/>
      <x:c r="W62" s="142"/>
    </x:row>
    <x:row r="63" ht="19" customHeight="1">
      <x:c r="A63" s="208"/>
      <x:c r="B63" s="208"/>
      <x:c r="C63" s="142"/>
      <x:c r="D63" s="142"/>
      <x:c r="E63" s="142"/>
      <x:c r="F63" s="142"/>
      <x:c r="G63" s="142"/>
      <x:c r="H63" s="142"/>
      <x:c r="I63" s="142"/>
      <x:c r="J63" s="142"/>
      <x:c r="K63" s="142"/>
      <x:c r="L63" s="142"/>
      <x:c r="M63" s="226"/>
      <x:c r="N63" s="226"/>
      <x:c r="O63" s="232" t="str">
        <x:f>IF(A63="","",M63-N63)</x:f>
      </x:c>
      <x:c r="P63" s="220"/>
      <x:c r="Q63" s="232" t="str">
        <x:f>IF(A63="","",O63*P63)</x:f>
      </x:c>
      <x:c r="R63" s="226"/>
      <x:c r="S63" s="232" t="str">
        <x:f>IF(A63="","",Q63-R63)</x:f>
      </x:c>
      <x:c r="T63" s="208"/>
      <x:c r="U63" s="142"/>
      <x:c r="V63" s="142"/>
      <x:c r="W63" s="142"/>
    </x:row>
    <x:row r="64" ht="19" customHeight="1">
      <x:c r="A64" s="208"/>
      <x:c r="B64" s="208"/>
      <x:c r="C64" s="142"/>
      <x:c r="D64" s="142"/>
      <x:c r="E64" s="142"/>
      <x:c r="F64" s="142"/>
      <x:c r="G64" s="142"/>
      <x:c r="H64" s="142"/>
      <x:c r="I64" s="142"/>
      <x:c r="J64" s="142"/>
      <x:c r="K64" s="142"/>
      <x:c r="L64" s="142"/>
      <x:c r="M64" s="226"/>
      <x:c r="N64" s="226"/>
      <x:c r="O64" s="232" t="str">
        <x:f>IF(A64="","",M64-N64)</x:f>
      </x:c>
      <x:c r="P64" s="220"/>
      <x:c r="Q64" s="232" t="str">
        <x:f>IF(A64="","",O64*P64)</x:f>
      </x:c>
      <x:c r="R64" s="226"/>
      <x:c r="S64" s="232" t="str">
        <x:f>IF(A64="","",Q64-R64)</x:f>
      </x:c>
      <x:c r="T64" s="208"/>
      <x:c r="U64" s="142"/>
      <x:c r="V64" s="142"/>
      <x:c r="W64" s="142"/>
    </x:row>
    <x:row r="65" ht="19" customHeight="1">
      <x:c r="A65" s="208"/>
      <x:c r="B65" s="208"/>
      <x:c r="C65" s="142"/>
      <x:c r="D65" s="142"/>
      <x:c r="E65" s="142"/>
      <x:c r="F65" s="142"/>
      <x:c r="G65" s="142"/>
      <x:c r="H65" s="142"/>
      <x:c r="I65" s="142"/>
      <x:c r="J65" s="142"/>
      <x:c r="K65" s="142"/>
      <x:c r="L65" s="142"/>
      <x:c r="M65" s="226"/>
      <x:c r="N65" s="226"/>
      <x:c r="O65" s="232" t="str">
        <x:f>IF(A65="","",M65-N65)</x:f>
      </x:c>
      <x:c r="P65" s="220"/>
      <x:c r="Q65" s="232" t="str">
        <x:f>IF(A65="","",O65*P65)</x:f>
      </x:c>
      <x:c r="R65" s="226"/>
      <x:c r="S65" s="232" t="str">
        <x:f>IF(A65="","",Q65-R65)</x:f>
      </x:c>
      <x:c r="T65" s="208"/>
      <x:c r="U65" s="142"/>
      <x:c r="V65" s="142"/>
      <x:c r="W65" s="142"/>
    </x:row>
    <x:row r="66" ht="19" customHeight="1">
      <x:c r="A66" s="208"/>
      <x:c r="B66" s="208"/>
      <x:c r="C66" s="142"/>
      <x:c r="D66" s="142"/>
      <x:c r="E66" s="142"/>
      <x:c r="F66" s="142"/>
      <x:c r="G66" s="142"/>
      <x:c r="H66" s="142"/>
      <x:c r="I66" s="142"/>
      <x:c r="J66" s="142"/>
      <x:c r="K66" s="142"/>
      <x:c r="L66" s="142"/>
      <x:c r="M66" s="226"/>
      <x:c r="N66" s="226"/>
      <x:c r="O66" s="232" t="str">
        <x:f>IF(A66="","",M66-N66)</x:f>
      </x:c>
      <x:c r="P66" s="220"/>
      <x:c r="Q66" s="232" t="str">
        <x:f>IF(A66="","",O66*P66)</x:f>
      </x:c>
      <x:c r="R66" s="226"/>
      <x:c r="S66" s="232" t="str">
        <x:f>IF(A66="","",Q66-R66)</x:f>
      </x:c>
      <x:c r="T66" s="208"/>
      <x:c r="U66" s="142"/>
      <x:c r="V66" s="142"/>
      <x:c r="W66" s="142"/>
    </x:row>
    <x:row r="67" ht="19" customHeight="1">
      <x:c r="A67" s="208"/>
      <x:c r="B67" s="208"/>
      <x:c r="C67" s="142"/>
      <x:c r="D67" s="142"/>
      <x:c r="E67" s="142"/>
      <x:c r="F67" s="142"/>
      <x:c r="G67" s="142"/>
      <x:c r="H67" s="142"/>
      <x:c r="I67" s="142"/>
      <x:c r="J67" s="142"/>
      <x:c r="K67" s="142"/>
      <x:c r="L67" s="142"/>
      <x:c r="M67" s="226"/>
      <x:c r="N67" s="226"/>
      <x:c r="O67" s="232" t="str">
        <x:f>IF(A67="","",M67-N67)</x:f>
      </x:c>
      <x:c r="P67" s="220"/>
      <x:c r="Q67" s="232" t="str">
        <x:f>IF(A67="","",O67*P67)</x:f>
      </x:c>
      <x:c r="R67" s="226"/>
      <x:c r="S67" s="232" t="str">
        <x:f>IF(A67="","",Q67-R67)</x:f>
      </x:c>
      <x:c r="T67" s="208"/>
      <x:c r="U67" s="142"/>
      <x:c r="V67" s="142"/>
      <x:c r="W67" s="142"/>
    </x:row>
    <x:row r="68" ht="19" customHeight="1">
      <x:c r="A68" s="208"/>
      <x:c r="B68" s="208"/>
      <x:c r="C68" s="142"/>
      <x:c r="D68" s="142"/>
      <x:c r="E68" s="142"/>
      <x:c r="F68" s="142"/>
      <x:c r="G68" s="142"/>
      <x:c r="H68" s="142"/>
      <x:c r="I68" s="142"/>
      <x:c r="J68" s="142"/>
      <x:c r="K68" s="142"/>
      <x:c r="L68" s="142"/>
      <x:c r="M68" s="226"/>
      <x:c r="N68" s="226"/>
      <x:c r="O68" s="232" t="str">
        <x:f>IF(A68="","",M68-N68)</x:f>
      </x:c>
      <x:c r="P68" s="220"/>
      <x:c r="Q68" s="232" t="str">
        <x:f>IF(A68="","",O68*P68)</x:f>
      </x:c>
      <x:c r="R68" s="226"/>
      <x:c r="S68" s="232" t="str">
        <x:f>IF(A68="","",Q68-R68)</x:f>
      </x:c>
      <x:c r="T68" s="208"/>
      <x:c r="U68" s="142"/>
      <x:c r="V68" s="142"/>
      <x:c r="W68" s="142"/>
    </x:row>
    <x:row r="69" ht="19" customHeight="1">
      <x:c r="A69" s="208"/>
      <x:c r="B69" s="208"/>
      <x:c r="C69" s="142"/>
      <x:c r="D69" s="142"/>
      <x:c r="E69" s="142"/>
      <x:c r="F69" s="142"/>
      <x:c r="G69" s="142"/>
      <x:c r="H69" s="142"/>
      <x:c r="I69" s="142"/>
      <x:c r="J69" s="142"/>
      <x:c r="K69" s="142"/>
      <x:c r="L69" s="142"/>
      <x:c r="M69" s="226"/>
      <x:c r="N69" s="226"/>
      <x:c r="O69" s="232" t="str">
        <x:f>IF(A69="","",M69-N69)</x:f>
      </x:c>
      <x:c r="P69" s="220"/>
      <x:c r="Q69" s="232" t="str">
        <x:f>IF(A69="","",O69*P69)</x:f>
      </x:c>
      <x:c r="R69" s="226"/>
      <x:c r="S69" s="232" t="str">
        <x:f>IF(A69="","",Q69-R69)</x:f>
      </x:c>
      <x:c r="T69" s="208"/>
      <x:c r="U69" s="142"/>
      <x:c r="V69" s="142"/>
      <x:c r="W69" s="142"/>
    </x:row>
    <x:row r="70" ht="19" customHeight="1">
      <x:c r="A70" s="208"/>
      <x:c r="B70" s="208"/>
      <x:c r="C70" s="142"/>
      <x:c r="D70" s="142"/>
      <x:c r="E70" s="142"/>
      <x:c r="F70" s="142"/>
      <x:c r="G70" s="142"/>
      <x:c r="H70" s="142"/>
      <x:c r="I70" s="142"/>
      <x:c r="J70" s="142"/>
      <x:c r="K70" s="142"/>
      <x:c r="L70" s="142"/>
      <x:c r="M70" s="226"/>
      <x:c r="N70" s="226"/>
      <x:c r="O70" s="232" t="str">
        <x:f>IF(A70="","",M70-N70)</x:f>
      </x:c>
      <x:c r="P70" s="220"/>
      <x:c r="Q70" s="232" t="str">
        <x:f>IF(A70="","",O70*P70)</x:f>
      </x:c>
      <x:c r="R70" s="226"/>
      <x:c r="S70" s="232" t="str">
        <x:f>IF(A70="","",Q70-R70)</x:f>
      </x:c>
      <x:c r="T70" s="208"/>
      <x:c r="U70" s="142"/>
      <x:c r="V70" s="142"/>
      <x:c r="W70" s="142"/>
    </x:row>
    <x:row r="71" ht="19" customHeight="1">
      <x:c r="A71" s="208"/>
      <x:c r="B71" s="208"/>
      <x:c r="C71" s="142"/>
      <x:c r="D71" s="142"/>
      <x:c r="E71" s="142"/>
      <x:c r="F71" s="142"/>
      <x:c r="G71" s="142"/>
      <x:c r="H71" s="142"/>
      <x:c r="I71" s="142"/>
      <x:c r="J71" s="142"/>
      <x:c r="K71" s="142"/>
      <x:c r="L71" s="142"/>
      <x:c r="M71" s="226"/>
      <x:c r="N71" s="226"/>
      <x:c r="O71" s="232" t="str">
        <x:f>IF(A71="","",M71-N71)</x:f>
      </x:c>
      <x:c r="P71" s="220"/>
      <x:c r="Q71" s="232" t="str">
        <x:f>IF(A71="","",O71*P71)</x:f>
      </x:c>
      <x:c r="R71" s="226"/>
      <x:c r="S71" s="232" t="str">
        <x:f>IF(A71="","",Q71-R71)</x:f>
      </x:c>
      <x:c r="T71" s="208"/>
      <x:c r="U71" s="142"/>
      <x:c r="V71" s="142"/>
      <x:c r="W71" s="142"/>
    </x:row>
    <x:row r="72" ht="19" customHeight="1">
      <x:c r="A72" s="208"/>
      <x:c r="B72" s="208"/>
      <x:c r="C72" s="142"/>
      <x:c r="D72" s="142"/>
      <x:c r="E72" s="142"/>
      <x:c r="F72" s="142"/>
      <x:c r="G72" s="142"/>
      <x:c r="H72" s="142"/>
      <x:c r="I72" s="142"/>
      <x:c r="J72" s="142"/>
      <x:c r="K72" s="142"/>
      <x:c r="L72" s="142"/>
      <x:c r="M72" s="226"/>
      <x:c r="N72" s="226"/>
      <x:c r="O72" s="232" t="str">
        <x:f>IF(A72="","",M72-N72)</x:f>
      </x:c>
      <x:c r="P72" s="220"/>
      <x:c r="Q72" s="232" t="str">
        <x:f>IF(A72="","",O72*P72)</x:f>
      </x:c>
      <x:c r="R72" s="226"/>
      <x:c r="S72" s="232" t="str">
        <x:f>IF(A72="","",Q72-R72)</x:f>
      </x:c>
      <x:c r="T72" s="208"/>
      <x:c r="U72" s="142"/>
      <x:c r="V72" s="142"/>
      <x:c r="W72" s="142"/>
    </x:row>
    <x:row r="73" ht="19" customHeight="1">
      <x:c r="A73" s="208"/>
      <x:c r="B73" s="208"/>
      <x:c r="C73" s="142"/>
      <x:c r="D73" s="142"/>
      <x:c r="E73" s="142"/>
      <x:c r="F73" s="142"/>
      <x:c r="G73" s="142"/>
      <x:c r="H73" s="142"/>
      <x:c r="I73" s="142"/>
      <x:c r="J73" s="142"/>
      <x:c r="K73" s="142"/>
      <x:c r="L73" s="142"/>
      <x:c r="M73" s="226"/>
      <x:c r="N73" s="226"/>
      <x:c r="O73" s="232" t="str">
        <x:f>IF(A73="","",M73-N73)</x:f>
      </x:c>
      <x:c r="P73" s="220"/>
      <x:c r="Q73" s="232" t="str">
        <x:f>IF(A73="","",O73*P73)</x:f>
      </x:c>
      <x:c r="R73" s="226"/>
      <x:c r="S73" s="232" t="str">
        <x:f>IF(A73="","",Q73-R73)</x:f>
      </x:c>
      <x:c r="T73" s="208"/>
      <x:c r="U73" s="142"/>
      <x:c r="V73" s="142"/>
      <x:c r="W73" s="142"/>
    </x:row>
    <x:row r="74" ht="19" customHeight="1">
      <x:c r="A74" s="208"/>
      <x:c r="B74" s="208"/>
      <x:c r="C74" s="142"/>
      <x:c r="D74" s="142"/>
      <x:c r="E74" s="142"/>
      <x:c r="F74" s="142"/>
      <x:c r="G74" s="142"/>
      <x:c r="H74" s="142"/>
      <x:c r="I74" s="142"/>
      <x:c r="J74" s="142"/>
      <x:c r="K74" s="142"/>
      <x:c r="L74" s="142"/>
      <x:c r="M74" s="226"/>
      <x:c r="N74" s="226"/>
      <x:c r="O74" s="232" t="str">
        <x:f>IF(A74="","",M74-N74)</x:f>
      </x:c>
      <x:c r="P74" s="220"/>
      <x:c r="Q74" s="232" t="str">
        <x:f>IF(A74="","",O74*P74)</x:f>
      </x:c>
      <x:c r="R74" s="226"/>
      <x:c r="S74" s="232" t="str">
        <x:f>IF(A74="","",Q74-R74)</x:f>
      </x:c>
      <x:c r="T74" s="208"/>
      <x:c r="U74" s="142"/>
      <x:c r="V74" s="142"/>
      <x:c r="W74" s="142"/>
    </x:row>
    <x:row r="75" ht="19" customHeight="1">
      <x:c r="A75" s="208"/>
      <x:c r="B75" s="208"/>
      <x:c r="C75" s="142"/>
      <x:c r="D75" s="142"/>
      <x:c r="E75" s="142"/>
      <x:c r="F75" s="142"/>
      <x:c r="G75" s="142"/>
      <x:c r="H75" s="142"/>
      <x:c r="I75" s="142"/>
      <x:c r="J75" s="142"/>
      <x:c r="K75" s="142"/>
      <x:c r="L75" s="142"/>
      <x:c r="M75" s="226"/>
      <x:c r="N75" s="226"/>
      <x:c r="O75" s="232" t="str">
        <x:f>IF(A75="","",M75-N75)</x:f>
      </x:c>
      <x:c r="P75" s="220"/>
      <x:c r="Q75" s="232" t="str">
        <x:f>IF(A75="","",O75*P75)</x:f>
      </x:c>
      <x:c r="R75" s="226"/>
      <x:c r="S75" s="232" t="str">
        <x:f>IF(A75="","",Q75-R75)</x:f>
      </x:c>
      <x:c r="T75" s="208"/>
      <x:c r="U75" s="142"/>
      <x:c r="V75" s="142"/>
      <x:c r="W75" s="142"/>
    </x:row>
    <x:row r="76" ht="19" customHeight="1">
      <x:c r="A76" s="208"/>
      <x:c r="B76" s="208"/>
      <x:c r="C76" s="142"/>
      <x:c r="D76" s="142"/>
      <x:c r="E76" s="142"/>
      <x:c r="F76" s="142"/>
      <x:c r="G76" s="142"/>
      <x:c r="H76" s="142"/>
      <x:c r="I76" s="142"/>
      <x:c r="J76" s="142"/>
      <x:c r="K76" s="142"/>
      <x:c r="L76" s="142"/>
      <x:c r="M76" s="226"/>
      <x:c r="N76" s="226"/>
      <x:c r="O76" s="232" t="str">
        <x:f>IF(A76="","",M76-N76)</x:f>
      </x:c>
      <x:c r="P76" s="220"/>
      <x:c r="Q76" s="232" t="str">
        <x:f>IF(A76="","",O76*P76)</x:f>
      </x:c>
      <x:c r="R76" s="226"/>
      <x:c r="S76" s="232" t="str">
        <x:f>IF(A76="","",Q76-R76)</x:f>
      </x:c>
      <x:c r="T76" s="208"/>
      <x:c r="U76" s="142"/>
      <x:c r="V76" s="142"/>
      <x:c r="W76" s="142"/>
    </x:row>
    <x:row r="77" ht="19" customHeight="1">
      <x:c r="A77" s="208"/>
      <x:c r="B77" s="208"/>
      <x:c r="C77" s="142"/>
      <x:c r="D77" s="142"/>
      <x:c r="E77" s="142"/>
      <x:c r="F77" s="142"/>
      <x:c r="G77" s="142"/>
      <x:c r="H77" s="142"/>
      <x:c r="I77" s="142"/>
      <x:c r="J77" s="142"/>
      <x:c r="K77" s="142"/>
      <x:c r="L77" s="142"/>
      <x:c r="M77" s="226"/>
      <x:c r="N77" s="226"/>
      <x:c r="O77" s="232" t="str">
        <x:f>IF(A77="","",M77-N77)</x:f>
      </x:c>
      <x:c r="P77" s="220"/>
      <x:c r="Q77" s="232" t="str">
        <x:f>IF(A77="","",O77*P77)</x:f>
      </x:c>
      <x:c r="R77" s="226"/>
      <x:c r="S77" s="232" t="str">
        <x:f>IF(A77="","",Q77-R77)</x:f>
      </x:c>
      <x:c r="T77" s="208"/>
      <x:c r="U77" s="142"/>
      <x:c r="V77" s="142"/>
      <x:c r="W77" s="142"/>
    </x:row>
    <x:row r="78" ht="19" customHeight="1">
      <x:c r="A78" s="208"/>
      <x:c r="B78" s="208"/>
      <x:c r="C78" s="142"/>
      <x:c r="D78" s="142"/>
      <x:c r="E78" s="142"/>
      <x:c r="F78" s="142"/>
      <x:c r="G78" s="142"/>
      <x:c r="H78" s="142"/>
      <x:c r="I78" s="142"/>
      <x:c r="J78" s="142"/>
      <x:c r="K78" s="142"/>
      <x:c r="L78" s="142"/>
      <x:c r="M78" s="226"/>
      <x:c r="N78" s="226"/>
      <x:c r="O78" s="232" t="str">
        <x:f>IF(A78="","",M78-N78)</x:f>
      </x:c>
      <x:c r="P78" s="220"/>
      <x:c r="Q78" s="232" t="str">
        <x:f>IF(A78="","",O78*P78)</x:f>
      </x:c>
      <x:c r="R78" s="226"/>
      <x:c r="S78" s="232" t="str">
        <x:f>IF(A78="","",Q78-R78)</x:f>
      </x:c>
      <x:c r="T78" s="208"/>
      <x:c r="U78" s="142"/>
      <x:c r="V78" s="142"/>
      <x:c r="W78" s="142"/>
    </x:row>
    <x:row r="79" ht="19" customHeight="1">
      <x:c r="A79" s="208"/>
      <x:c r="B79" s="208"/>
      <x:c r="C79" s="142"/>
      <x:c r="D79" s="142"/>
      <x:c r="E79" s="142"/>
      <x:c r="F79" s="142"/>
      <x:c r="G79" s="142"/>
      <x:c r="H79" s="142"/>
      <x:c r="I79" s="142"/>
      <x:c r="J79" s="142"/>
      <x:c r="K79" s="142"/>
      <x:c r="L79" s="142"/>
      <x:c r="M79" s="226"/>
      <x:c r="N79" s="226"/>
      <x:c r="O79" s="232" t="str">
        <x:f>IF(A79="","",M79-N79)</x:f>
      </x:c>
      <x:c r="P79" s="220"/>
      <x:c r="Q79" s="232" t="str">
        <x:f>IF(A79="","",O79*P79)</x:f>
      </x:c>
      <x:c r="R79" s="226"/>
      <x:c r="S79" s="232" t="str">
        <x:f>IF(A79="","",Q79-R79)</x:f>
      </x:c>
      <x:c r="T79" s="208"/>
      <x:c r="U79" s="142"/>
      <x:c r="V79" s="142"/>
      <x:c r="W79" s="142"/>
    </x:row>
    <x:row r="80" ht="19" customHeight="1">
      <x:c r="A80" s="208"/>
      <x:c r="B80" s="208"/>
      <x:c r="C80" s="142"/>
      <x:c r="D80" s="142"/>
      <x:c r="E80" s="142"/>
      <x:c r="F80" s="142"/>
      <x:c r="G80" s="142"/>
      <x:c r="H80" s="142"/>
      <x:c r="I80" s="142"/>
      <x:c r="J80" s="142"/>
      <x:c r="K80" s="142"/>
      <x:c r="L80" s="142"/>
      <x:c r="M80" s="226"/>
      <x:c r="N80" s="226"/>
      <x:c r="O80" s="232" t="str">
        <x:f>IF(A80="","",M80-N80)</x:f>
      </x:c>
      <x:c r="P80" s="220"/>
      <x:c r="Q80" s="232" t="str">
        <x:f>IF(A80="","",O80*P80)</x:f>
      </x:c>
      <x:c r="R80" s="226"/>
      <x:c r="S80" s="232" t="str">
        <x:f>IF(A80="","",Q80-R80)</x:f>
      </x:c>
      <x:c r="T80" s="208"/>
      <x:c r="U80" s="142"/>
      <x:c r="V80" s="142"/>
      <x:c r="W80" s="142"/>
    </x:row>
    <x:row r="81" ht="19" customHeight="1">
      <x:c r="A81" s="208"/>
      <x:c r="B81" s="208"/>
      <x:c r="C81" s="142"/>
      <x:c r="D81" s="142"/>
      <x:c r="E81" s="142"/>
      <x:c r="F81" s="142"/>
      <x:c r="G81" s="142"/>
      <x:c r="H81" s="142"/>
      <x:c r="I81" s="142"/>
      <x:c r="J81" s="142"/>
      <x:c r="K81" s="142"/>
      <x:c r="L81" s="142"/>
      <x:c r="M81" s="226"/>
      <x:c r="N81" s="226"/>
      <x:c r="O81" s="232" t="str">
        <x:f>IF(A81="","",M81-N81)</x:f>
      </x:c>
      <x:c r="P81" s="220"/>
      <x:c r="Q81" s="232" t="str">
        <x:f>IF(A81="","",O81*P81)</x:f>
      </x:c>
      <x:c r="R81" s="226"/>
      <x:c r="S81" s="232" t="str">
        <x:f>IF(A81="","",Q81-R81)</x:f>
      </x:c>
      <x:c r="T81" s="208"/>
      <x:c r="U81" s="142"/>
      <x:c r="V81" s="142"/>
      <x:c r="W81" s="142"/>
    </x:row>
    <x:row r="82" ht="19" customHeight="1">
      <x:c r="A82" s="208"/>
      <x:c r="B82" s="208"/>
      <x:c r="C82" s="142"/>
      <x:c r="D82" s="142"/>
      <x:c r="E82" s="142"/>
      <x:c r="F82" s="142"/>
      <x:c r="G82" s="142"/>
      <x:c r="H82" s="142"/>
      <x:c r="I82" s="142"/>
      <x:c r="J82" s="142"/>
      <x:c r="K82" s="142"/>
      <x:c r="L82" s="142"/>
      <x:c r="M82" s="226"/>
      <x:c r="N82" s="226"/>
      <x:c r="O82" s="232" t="str">
        <x:f>IF(A82="","",M82-N82)</x:f>
      </x:c>
      <x:c r="P82" s="220"/>
      <x:c r="Q82" s="232" t="str">
        <x:f>IF(A82="","",O82*P82)</x:f>
      </x:c>
      <x:c r="R82" s="226"/>
      <x:c r="S82" s="232" t="str">
        <x:f>IF(A82="","",Q82-R82)</x:f>
      </x:c>
      <x:c r="T82" s="208"/>
      <x:c r="U82" s="142"/>
      <x:c r="V82" s="142"/>
      <x:c r="W82" s="142"/>
    </x:row>
    <x:row r="83" ht="19" customHeight="1">
      <x:c r="A83" s="208"/>
      <x:c r="B83" s="208"/>
      <x:c r="C83" s="142"/>
      <x:c r="D83" s="142"/>
      <x:c r="E83" s="142"/>
      <x:c r="F83" s="142"/>
      <x:c r="G83" s="142"/>
      <x:c r="H83" s="142"/>
      <x:c r="I83" s="142"/>
      <x:c r="J83" s="142"/>
      <x:c r="K83" s="142"/>
      <x:c r="L83" s="142"/>
      <x:c r="M83" s="226"/>
      <x:c r="N83" s="226"/>
      <x:c r="O83" s="232" t="str">
        <x:f>IF(A83="","",M83-N83)</x:f>
      </x:c>
      <x:c r="P83" s="220"/>
      <x:c r="Q83" s="232" t="str">
        <x:f>IF(A83="","",O83*P83)</x:f>
      </x:c>
      <x:c r="R83" s="226"/>
      <x:c r="S83" s="232" t="str">
        <x:f>IF(A83="","",Q83-R83)</x:f>
      </x:c>
      <x:c r="T83" s="208"/>
      <x:c r="U83" s="142"/>
      <x:c r="V83" s="142"/>
      <x:c r="W83" s="142"/>
    </x:row>
    <x:row r="84" ht="19" customHeight="1">
      <x:c r="A84" s="208"/>
      <x:c r="B84" s="208"/>
      <x:c r="C84" s="142"/>
      <x:c r="D84" s="142"/>
      <x:c r="E84" s="142"/>
      <x:c r="F84" s="142"/>
      <x:c r="G84" s="142"/>
      <x:c r="H84" s="142"/>
      <x:c r="I84" s="142"/>
      <x:c r="J84" s="142"/>
      <x:c r="K84" s="142"/>
      <x:c r="L84" s="142"/>
      <x:c r="M84" s="226"/>
      <x:c r="N84" s="226"/>
      <x:c r="O84" s="232" t="str">
        <x:f>IF(A84="","",M84-N84)</x:f>
      </x:c>
      <x:c r="P84" s="220"/>
      <x:c r="Q84" s="232" t="str">
        <x:f>IF(A84="","",O84*P84)</x:f>
      </x:c>
      <x:c r="R84" s="226"/>
      <x:c r="S84" s="232" t="str">
        <x:f>IF(A84="","",Q84-R84)</x:f>
      </x:c>
      <x:c r="T84" s="208"/>
      <x:c r="U84" s="142"/>
      <x:c r="V84" s="142"/>
      <x:c r="W84" s="142"/>
    </x:row>
    <x:row r="85" ht="19" customHeight="1">
      <x:c r="A85" s="208"/>
      <x:c r="B85" s="208"/>
      <x:c r="C85" s="142"/>
      <x:c r="D85" s="142"/>
      <x:c r="E85" s="142"/>
      <x:c r="F85" s="142"/>
      <x:c r="G85" s="142"/>
      <x:c r="H85" s="142"/>
      <x:c r="I85" s="142"/>
      <x:c r="J85" s="142"/>
      <x:c r="K85" s="142"/>
      <x:c r="L85" s="142"/>
      <x:c r="M85" s="226"/>
      <x:c r="N85" s="226"/>
      <x:c r="O85" s="232" t="str">
        <x:f>IF(A85="","",M85-N85)</x:f>
      </x:c>
      <x:c r="P85" s="220"/>
      <x:c r="Q85" s="232" t="str">
        <x:f>IF(A85="","",O85*P85)</x:f>
      </x:c>
      <x:c r="R85" s="226"/>
      <x:c r="S85" s="232" t="str">
        <x:f>IF(A85="","",Q85-R85)</x:f>
      </x:c>
      <x:c r="T85" s="208"/>
      <x:c r="U85" s="142"/>
      <x:c r="V85" s="142"/>
      <x:c r="W85" s="142"/>
    </x:row>
    <x:row r="86" ht="19" customHeight="1">
      <x:c r="A86" s="208"/>
      <x:c r="B86" s="208"/>
      <x:c r="C86" s="142"/>
      <x:c r="D86" s="142"/>
      <x:c r="E86" s="142"/>
      <x:c r="F86" s="142"/>
      <x:c r="G86" s="142"/>
      <x:c r="H86" s="142"/>
      <x:c r="I86" s="142"/>
      <x:c r="J86" s="142"/>
      <x:c r="K86" s="142"/>
      <x:c r="L86" s="142"/>
      <x:c r="M86" s="226"/>
      <x:c r="N86" s="226"/>
      <x:c r="O86" s="232" t="str">
        <x:f>IF(A86="","",M86-N86)</x:f>
      </x:c>
      <x:c r="P86" s="220"/>
      <x:c r="Q86" s="232" t="str">
        <x:f>IF(A86="","",O86*P86)</x:f>
      </x:c>
      <x:c r="R86" s="226"/>
      <x:c r="S86" s="232" t="str">
        <x:f>IF(A86="","",Q86-R86)</x:f>
      </x:c>
      <x:c r="T86" s="208"/>
      <x:c r="U86" s="142"/>
      <x:c r="V86" s="142"/>
      <x:c r="W86" s="142"/>
    </x:row>
    <x:row r="87" ht="19" customHeight="1">
      <x:c r="A87" s="208"/>
      <x:c r="B87" s="208"/>
      <x:c r="C87" s="142"/>
      <x:c r="D87" s="142"/>
      <x:c r="E87" s="142"/>
      <x:c r="F87" s="142"/>
      <x:c r="G87" s="142"/>
      <x:c r="H87" s="142"/>
      <x:c r="I87" s="142"/>
      <x:c r="J87" s="142"/>
      <x:c r="K87" s="142"/>
      <x:c r="L87" s="142"/>
      <x:c r="M87" s="226"/>
      <x:c r="N87" s="226"/>
      <x:c r="O87" s="232" t="str">
        <x:f>IF(A87="","",M87-N87)</x:f>
      </x:c>
      <x:c r="P87" s="220"/>
      <x:c r="Q87" s="232" t="str">
        <x:f>IF(A87="","",O87*P87)</x:f>
      </x:c>
      <x:c r="R87" s="226"/>
      <x:c r="S87" s="232" t="str">
        <x:f>IF(A87="","",Q87-R87)</x:f>
      </x:c>
      <x:c r="T87" s="208"/>
      <x:c r="U87" s="142"/>
      <x:c r="V87" s="142"/>
      <x:c r="W87" s="142"/>
    </x:row>
    <x:row r="88" ht="19" customHeight="1">
      <x:c r="A88" s="208"/>
      <x:c r="B88" s="208"/>
      <x:c r="C88" s="142"/>
      <x:c r="D88" s="142"/>
      <x:c r="E88" s="142"/>
      <x:c r="F88" s="142"/>
      <x:c r="G88" s="142"/>
      <x:c r="H88" s="142"/>
      <x:c r="I88" s="142"/>
      <x:c r="J88" s="142"/>
      <x:c r="K88" s="142"/>
      <x:c r="L88" s="142"/>
      <x:c r="M88" s="226"/>
      <x:c r="N88" s="226"/>
      <x:c r="O88" s="232" t="str">
        <x:f>IF(A88="","",M88-N88)</x:f>
      </x:c>
      <x:c r="P88" s="220"/>
      <x:c r="Q88" s="232" t="str">
        <x:f>IF(A88="","",O88*P88)</x:f>
      </x:c>
      <x:c r="R88" s="226"/>
      <x:c r="S88" s="232" t="str">
        <x:f>IF(A88="","",Q88-R88)</x:f>
      </x:c>
      <x:c r="T88" s="208"/>
      <x:c r="U88" s="142"/>
      <x:c r="V88" s="142"/>
      <x:c r="W88" s="142"/>
    </x:row>
    <x:row r="89" ht="19" customHeight="1">
      <x:c r="A89" s="208"/>
      <x:c r="B89" s="208"/>
      <x:c r="C89" s="142"/>
      <x:c r="D89" s="142"/>
      <x:c r="E89" s="142"/>
      <x:c r="F89" s="142"/>
      <x:c r="G89" s="142"/>
      <x:c r="H89" s="142"/>
      <x:c r="I89" s="142"/>
      <x:c r="J89" s="142"/>
      <x:c r="K89" s="142"/>
      <x:c r="L89" s="142"/>
      <x:c r="M89" s="226"/>
      <x:c r="N89" s="226"/>
      <x:c r="O89" s="232" t="str">
        <x:f>IF(A89="","",M89-N89)</x:f>
      </x:c>
      <x:c r="P89" s="220"/>
      <x:c r="Q89" s="232" t="str">
        <x:f>IF(A89="","",O89*P89)</x:f>
      </x:c>
      <x:c r="R89" s="226"/>
      <x:c r="S89" s="232" t="str">
        <x:f>IF(A89="","",Q89-R89)</x:f>
      </x:c>
      <x:c r="T89" s="208"/>
      <x:c r="U89" s="142"/>
      <x:c r="V89" s="142"/>
      <x:c r="W89" s="142"/>
    </x:row>
    <x:row r="90" ht="19" customHeight="1">
      <x:c r="A90" s="208"/>
      <x:c r="B90" s="208"/>
      <x:c r="C90" s="142"/>
      <x:c r="D90" s="142"/>
      <x:c r="E90" s="142"/>
      <x:c r="F90" s="142"/>
      <x:c r="G90" s="142"/>
      <x:c r="H90" s="142"/>
      <x:c r="I90" s="142"/>
      <x:c r="J90" s="142"/>
      <x:c r="K90" s="142"/>
      <x:c r="L90" s="142"/>
      <x:c r="M90" s="226"/>
      <x:c r="N90" s="226"/>
      <x:c r="O90" s="232" t="str">
        <x:f>IF(A90="","",M90-N90)</x:f>
      </x:c>
      <x:c r="P90" s="220"/>
      <x:c r="Q90" s="232" t="str">
        <x:f>IF(A90="","",O90*P90)</x:f>
      </x:c>
      <x:c r="R90" s="226"/>
      <x:c r="S90" s="232" t="str">
        <x:f>IF(A90="","",Q90-R90)</x:f>
      </x:c>
      <x:c r="T90" s="208"/>
      <x:c r="U90" s="142"/>
      <x:c r="V90" s="142"/>
      <x:c r="W90" s="142"/>
    </x:row>
    <x:row r="91" ht="19" customHeight="1">
      <x:c r="A91" s="208"/>
      <x:c r="B91" s="208"/>
      <x:c r="C91" s="142"/>
      <x:c r="D91" s="142"/>
      <x:c r="E91" s="142"/>
      <x:c r="F91" s="142"/>
      <x:c r="G91" s="142"/>
      <x:c r="H91" s="142"/>
      <x:c r="I91" s="142"/>
      <x:c r="J91" s="142"/>
      <x:c r="K91" s="142"/>
      <x:c r="L91" s="142"/>
      <x:c r="M91" s="226"/>
      <x:c r="N91" s="226"/>
      <x:c r="O91" s="232" t="str">
        <x:f>IF(A91="","",M91-N91)</x:f>
      </x:c>
      <x:c r="P91" s="220"/>
      <x:c r="Q91" s="232" t="str">
        <x:f>IF(A91="","",O91*P91)</x:f>
      </x:c>
      <x:c r="R91" s="226"/>
      <x:c r="S91" s="232" t="str">
        <x:f>IF(A91="","",Q91-R91)</x:f>
      </x:c>
      <x:c r="T91" s="208"/>
      <x:c r="U91" s="142"/>
      <x:c r="V91" s="142"/>
      <x:c r="W91" s="142"/>
    </x:row>
    <x:row r="92" ht="19" customHeight="1">
      <x:c r="A92" s="208"/>
      <x:c r="B92" s="208"/>
      <x:c r="C92" s="142"/>
      <x:c r="D92" s="142"/>
      <x:c r="E92" s="142"/>
      <x:c r="F92" s="142"/>
      <x:c r="G92" s="142"/>
      <x:c r="H92" s="142"/>
      <x:c r="I92" s="142"/>
      <x:c r="J92" s="142"/>
      <x:c r="K92" s="142"/>
      <x:c r="L92" s="142"/>
      <x:c r="M92" s="226"/>
      <x:c r="N92" s="226"/>
      <x:c r="O92" s="232" t="str">
        <x:f>IF(A92="","",M92-N92)</x:f>
      </x:c>
      <x:c r="P92" s="220"/>
      <x:c r="Q92" s="232" t="str">
        <x:f>IF(A92="","",O92*P92)</x:f>
      </x:c>
      <x:c r="R92" s="226"/>
      <x:c r="S92" s="232" t="str">
        <x:f>IF(A92="","",Q92-R92)</x:f>
      </x:c>
      <x:c r="T92" s="208"/>
      <x:c r="U92" s="142"/>
      <x:c r="V92" s="142"/>
      <x:c r="W92" s="142"/>
    </x:row>
    <x:row r="93" ht="19" customHeight="1">
      <x:c r="A93" s="208"/>
      <x:c r="B93" s="208"/>
      <x:c r="C93" s="142"/>
      <x:c r="D93" s="142"/>
      <x:c r="E93" s="142"/>
      <x:c r="F93" s="142"/>
      <x:c r="G93" s="142"/>
      <x:c r="H93" s="142"/>
      <x:c r="I93" s="142"/>
      <x:c r="J93" s="142"/>
      <x:c r="K93" s="142"/>
      <x:c r="L93" s="142"/>
      <x:c r="M93" s="226"/>
      <x:c r="N93" s="226"/>
      <x:c r="O93" s="232" t="str">
        <x:f>IF(A93="","",M93-N93)</x:f>
      </x:c>
      <x:c r="P93" s="220"/>
      <x:c r="Q93" s="232" t="str">
        <x:f>IF(A93="","",O93*P93)</x:f>
      </x:c>
      <x:c r="R93" s="226"/>
      <x:c r="S93" s="232" t="str">
        <x:f>IF(A93="","",Q93-R93)</x:f>
      </x:c>
      <x:c r="T93" s="208"/>
      <x:c r="U93" s="142"/>
      <x:c r="V93" s="142"/>
      <x:c r="W93" s="142"/>
    </x:row>
    <x:row r="94" ht="19" customHeight="1">
      <x:c r="A94" s="208"/>
      <x:c r="B94" s="208"/>
      <x:c r="C94" s="142"/>
      <x:c r="D94" s="142"/>
      <x:c r="E94" s="142"/>
      <x:c r="F94" s="142"/>
      <x:c r="G94" s="142"/>
      <x:c r="H94" s="142"/>
      <x:c r="I94" s="142"/>
      <x:c r="J94" s="142"/>
      <x:c r="K94" s="142"/>
      <x:c r="L94" s="142"/>
      <x:c r="M94" s="226"/>
      <x:c r="N94" s="226"/>
      <x:c r="O94" s="232" t="str">
        <x:f>IF(A94="","",M94-N94)</x:f>
      </x:c>
      <x:c r="P94" s="220"/>
      <x:c r="Q94" s="232" t="str">
        <x:f>IF(A94="","",O94*P94)</x:f>
      </x:c>
      <x:c r="R94" s="226"/>
      <x:c r="S94" s="232" t="str">
        <x:f>IF(A94="","",Q94-R94)</x:f>
      </x:c>
      <x:c r="T94" s="208"/>
      <x:c r="U94" s="142"/>
      <x:c r="V94" s="142"/>
      <x:c r="W94" s="142"/>
    </x:row>
    <x:row r="95" ht="19" customHeight="1">
      <x:c r="A95" s="208"/>
      <x:c r="B95" s="208"/>
      <x:c r="C95" s="142"/>
      <x:c r="D95" s="142"/>
      <x:c r="E95" s="142"/>
      <x:c r="F95" s="142"/>
      <x:c r="G95" s="142"/>
      <x:c r="H95" s="142"/>
      <x:c r="I95" s="142"/>
      <x:c r="J95" s="142"/>
      <x:c r="K95" s="142"/>
      <x:c r="L95" s="142"/>
      <x:c r="M95" s="226"/>
      <x:c r="N95" s="226"/>
      <x:c r="O95" s="232" t="str">
        <x:f>IF(A95="","",M95-N95)</x:f>
      </x:c>
      <x:c r="P95" s="220"/>
      <x:c r="Q95" s="232" t="str">
        <x:f>IF(A95="","",O95*P95)</x:f>
      </x:c>
      <x:c r="R95" s="226"/>
      <x:c r="S95" s="232" t="str">
        <x:f>IF(A95="","",Q95-R95)</x:f>
      </x:c>
      <x:c r="T95" s="208"/>
      <x:c r="U95" s="142"/>
      <x:c r="V95" s="142"/>
      <x:c r="W95" s="142"/>
    </x:row>
    <x:row r="96" ht="19" customHeight="1">
      <x:c r="A96" s="208"/>
      <x:c r="B96" s="208"/>
      <x:c r="C96" s="142"/>
      <x:c r="D96" s="142"/>
      <x:c r="E96" s="142"/>
      <x:c r="F96" s="142"/>
      <x:c r="G96" s="142"/>
      <x:c r="H96" s="142"/>
      <x:c r="I96" s="142"/>
      <x:c r="J96" s="142"/>
      <x:c r="K96" s="142"/>
      <x:c r="L96" s="142"/>
      <x:c r="M96" s="226"/>
      <x:c r="N96" s="226"/>
      <x:c r="O96" s="232" t="str">
        <x:f>IF(A96="","",M96-N96)</x:f>
      </x:c>
      <x:c r="P96" s="220"/>
      <x:c r="Q96" s="232" t="str">
        <x:f>IF(A96="","",O96*P96)</x:f>
      </x:c>
      <x:c r="R96" s="226"/>
      <x:c r="S96" s="232" t="str">
        <x:f>IF(A96="","",Q96-R96)</x:f>
      </x:c>
      <x:c r="T96" s="208"/>
      <x:c r="U96" s="142"/>
      <x:c r="V96" s="142"/>
      <x:c r="W96" s="142"/>
    </x:row>
    <x:row r="97" ht="19" customHeight="1">
      <x:c r="A97" s="208"/>
      <x:c r="B97" s="208"/>
      <x:c r="C97" s="142"/>
      <x:c r="D97" s="142"/>
      <x:c r="E97" s="142"/>
      <x:c r="F97" s="142"/>
      <x:c r="G97" s="142"/>
      <x:c r="H97" s="142"/>
      <x:c r="I97" s="142"/>
      <x:c r="J97" s="142"/>
      <x:c r="K97" s="142"/>
      <x:c r="L97" s="142"/>
      <x:c r="M97" s="226"/>
      <x:c r="N97" s="226"/>
      <x:c r="O97" s="232" t="str">
        <x:f>IF(A97="","",M97-N97)</x:f>
      </x:c>
      <x:c r="P97" s="220"/>
      <x:c r="Q97" s="232" t="str">
        <x:f>IF(A97="","",O97*P97)</x:f>
      </x:c>
      <x:c r="R97" s="226"/>
      <x:c r="S97" s="232" t="str">
        <x:f>IF(A97="","",Q97-R97)</x:f>
      </x:c>
      <x:c r="T97" s="208"/>
      <x:c r="U97" s="142"/>
      <x:c r="V97" s="142"/>
      <x:c r="W97" s="142"/>
    </x:row>
    <x:row r="98" ht="19" customHeight="1">
      <x:c r="A98" s="208"/>
      <x:c r="B98" s="208"/>
      <x:c r="C98" s="142"/>
      <x:c r="D98" s="142"/>
      <x:c r="E98" s="142"/>
      <x:c r="F98" s="142"/>
      <x:c r="G98" s="142"/>
      <x:c r="H98" s="142"/>
      <x:c r="I98" s="142"/>
      <x:c r="J98" s="142"/>
      <x:c r="K98" s="142"/>
      <x:c r="L98" s="142"/>
      <x:c r="M98" s="226"/>
      <x:c r="N98" s="226"/>
      <x:c r="O98" s="232" t="str">
        <x:f>IF(A98="","",M98-N98)</x:f>
      </x:c>
      <x:c r="P98" s="220"/>
      <x:c r="Q98" s="232" t="str">
        <x:f>IF(A98="","",O98*P98)</x:f>
      </x:c>
      <x:c r="R98" s="226"/>
      <x:c r="S98" s="232" t="str">
        <x:f>IF(A98="","",Q98-R98)</x:f>
      </x:c>
      <x:c r="T98" s="208"/>
      <x:c r="U98" s="142"/>
      <x:c r="V98" s="142"/>
      <x:c r="W98" s="142"/>
    </x:row>
    <x:row r="99" ht="19" customHeight="1">
      <x:c r="A99" s="208"/>
      <x:c r="B99" s="208"/>
      <x:c r="C99" s="142"/>
      <x:c r="D99" s="142"/>
      <x:c r="E99" s="142"/>
      <x:c r="F99" s="142"/>
      <x:c r="G99" s="142"/>
      <x:c r="H99" s="142"/>
      <x:c r="I99" s="142"/>
      <x:c r="J99" s="142"/>
      <x:c r="K99" s="142"/>
      <x:c r="L99" s="142"/>
      <x:c r="M99" s="226"/>
      <x:c r="N99" s="226"/>
      <x:c r="O99" s="232" t="str">
        <x:f>IF(A99="","",M99-N99)</x:f>
      </x:c>
      <x:c r="P99" s="220"/>
      <x:c r="Q99" s="232" t="str">
        <x:f>IF(A99="","",O99*P99)</x:f>
      </x:c>
      <x:c r="R99" s="226"/>
      <x:c r="S99" s="232" t="str">
        <x:f>IF(A99="","",Q99-R99)</x:f>
      </x:c>
      <x:c r="T99" s="208"/>
      <x:c r="U99" s="142"/>
      <x:c r="V99" s="142"/>
      <x:c r="W99" s="142"/>
    </x:row>
    <x:row r="100" ht="19" customHeight="1">
      <x:c r="A100" s="208"/>
      <x:c r="B100" s="208"/>
      <x:c r="C100" s="142"/>
      <x:c r="D100" s="142"/>
      <x:c r="E100" s="142"/>
      <x:c r="F100" s="142"/>
      <x:c r="G100" s="142"/>
      <x:c r="H100" s="142"/>
      <x:c r="I100" s="142"/>
      <x:c r="J100" s="142"/>
      <x:c r="K100" s="142"/>
      <x:c r="L100" s="142"/>
      <x:c r="M100" s="226"/>
      <x:c r="N100" s="226"/>
      <x:c r="O100" s="232" t="str">
        <x:f>IF(A100="","",M100-N100)</x:f>
      </x:c>
      <x:c r="P100" s="220"/>
      <x:c r="Q100" s="232" t="str">
        <x:f>IF(A100="","",O100*P100)</x:f>
      </x:c>
      <x:c r="R100" s="226"/>
      <x:c r="S100" s="232" t="str">
        <x:f>IF(A100="","",Q100-R100)</x:f>
      </x:c>
      <x:c r="T100" s="208"/>
      <x:c r="U100" s="142"/>
      <x:c r="V100" s="142"/>
      <x:c r="W100" s="142"/>
    </x:row>
    <x:row r="101" ht="19" customHeight="1">
      <x:c r="A101" s="208"/>
      <x:c r="B101" s="208"/>
      <x:c r="C101" s="142"/>
      <x:c r="D101" s="142"/>
      <x:c r="E101" s="142"/>
      <x:c r="F101" s="142"/>
      <x:c r="G101" s="142"/>
      <x:c r="H101" s="142"/>
      <x:c r="I101" s="142"/>
      <x:c r="J101" s="142"/>
      <x:c r="K101" s="142"/>
      <x:c r="L101" s="142"/>
      <x:c r="M101" s="226"/>
      <x:c r="N101" s="226"/>
      <x:c r="O101" s="232" t="str">
        <x:f>IF(A101="","",M101-N101)</x:f>
      </x:c>
      <x:c r="P101" s="220"/>
      <x:c r="Q101" s="232" t="str">
        <x:f>IF(A101="","",O101*P101)</x:f>
      </x:c>
      <x:c r="R101" s="226"/>
      <x:c r="S101" s="232" t="str">
        <x:f>IF(A101="","",Q101-R101)</x:f>
      </x:c>
      <x:c r="T101" s="208"/>
      <x:c r="U101" s="142"/>
      <x:c r="V101" s="142"/>
      <x:c r="W101" s="142"/>
    </x:row>
    <x:row r="102" ht="19" customHeight="1">
      <x:c r="A102" s="208"/>
      <x:c r="B102" s="208"/>
      <x:c r="C102" s="142"/>
      <x:c r="D102" s="142"/>
      <x:c r="E102" s="142"/>
      <x:c r="F102" s="142"/>
      <x:c r="G102" s="142"/>
      <x:c r="H102" s="142"/>
      <x:c r="I102" s="142"/>
      <x:c r="J102" s="142"/>
      <x:c r="K102" s="142"/>
      <x:c r="L102" s="142"/>
      <x:c r="M102" s="226"/>
      <x:c r="N102" s="226"/>
      <x:c r="O102" s="232" t="str">
        <x:f>IF(A102="","",M102-N102)</x:f>
      </x:c>
      <x:c r="P102" s="220"/>
      <x:c r="Q102" s="232" t="str">
        <x:f>IF(A102="","",O102*P102)</x:f>
      </x:c>
      <x:c r="R102" s="226"/>
      <x:c r="S102" s="232" t="str">
        <x:f>IF(A102="","",Q102-R102)</x:f>
      </x:c>
      <x:c r="T102" s="208"/>
      <x:c r="U102" s="142"/>
      <x:c r="V102" s="142"/>
      <x:c r="W102" s="142"/>
    </x:row>
    <x:row r="103" ht="19" customHeight="1">
      <x:c r="A103" s="208"/>
      <x:c r="B103" s="208"/>
      <x:c r="C103" s="142"/>
      <x:c r="D103" s="142"/>
      <x:c r="E103" s="142"/>
      <x:c r="F103" s="142"/>
      <x:c r="G103" s="142"/>
      <x:c r="H103" s="142"/>
      <x:c r="I103" s="142"/>
      <x:c r="J103" s="142"/>
      <x:c r="K103" s="142"/>
      <x:c r="L103" s="142"/>
      <x:c r="M103" s="226"/>
      <x:c r="N103" s="226"/>
      <x:c r="O103" s="232" t="str">
        <x:f>IF(A103="","",M103-N103)</x:f>
      </x:c>
      <x:c r="P103" s="220"/>
      <x:c r="Q103" s="232" t="str">
        <x:f>IF(A103="","",O103*P103)</x:f>
      </x:c>
      <x:c r="R103" s="226"/>
      <x:c r="S103" s="232" t="str">
        <x:f>IF(A103="","",Q103-R103)</x:f>
      </x:c>
      <x:c r="T103" s="208"/>
      <x:c r="U103" s="142"/>
      <x:c r="V103" s="142"/>
      <x:c r="W103" s="142"/>
    </x:row>
    <x:row r="104" ht="19" customHeight="1">
      <x:c r="A104" s="208"/>
      <x:c r="B104" s="208"/>
      <x:c r="C104" s="142"/>
      <x:c r="D104" s="142"/>
      <x:c r="E104" s="142"/>
      <x:c r="F104" s="142"/>
      <x:c r="G104" s="142"/>
      <x:c r="H104" s="142"/>
      <x:c r="I104" s="142"/>
      <x:c r="J104" s="142"/>
      <x:c r="K104" s="142"/>
      <x:c r="L104" s="142"/>
      <x:c r="M104" s="226"/>
      <x:c r="N104" s="226"/>
      <x:c r="O104" s="232" t="str">
        <x:f>IF(A104="","",M104-N104)</x:f>
      </x:c>
      <x:c r="P104" s="220"/>
      <x:c r="Q104" s="232" t="str">
        <x:f>IF(A104="","",O104*P104)</x:f>
      </x:c>
      <x:c r="R104" s="226"/>
      <x:c r="S104" s="232" t="str">
        <x:f>IF(A104="","",Q104-R104)</x:f>
      </x:c>
      <x:c r="T104" s="208"/>
      <x:c r="U104" s="142"/>
      <x:c r="V104" s="142"/>
      <x:c r="W104" s="142"/>
    </x:row>
    <x:row r="105" ht="19" customHeight="1">
      <x:c r="A105" s="208"/>
      <x:c r="B105" s="208"/>
      <x:c r="C105" s="142"/>
      <x:c r="D105" s="142"/>
      <x:c r="E105" s="142"/>
      <x:c r="F105" s="142"/>
      <x:c r="G105" s="142"/>
      <x:c r="H105" s="142"/>
      <x:c r="I105" s="142"/>
      <x:c r="J105" s="142"/>
      <x:c r="K105" s="142"/>
      <x:c r="L105" s="142"/>
      <x:c r="M105" s="226"/>
      <x:c r="N105" s="226"/>
      <x:c r="O105" s="232" t="str">
        <x:f>IF(A105="","",M105-N105)</x:f>
      </x:c>
      <x:c r="P105" s="220"/>
      <x:c r="Q105" s="232" t="str">
        <x:f>IF(A105="","",O105*P105)</x:f>
      </x:c>
      <x:c r="R105" s="226"/>
      <x:c r="S105" s="232" t="str">
        <x:f>IF(A105="","",Q105-R105)</x:f>
      </x:c>
      <x:c r="T105" s="208"/>
      <x:c r="U105" s="142"/>
      <x:c r="V105" s="142"/>
      <x:c r="W105" s="142"/>
    </x:row>
    <x:row r="106" ht="19" customHeight="1">
      <x:c r="A106" s="208"/>
      <x:c r="B106" s="208"/>
      <x:c r="C106" s="142"/>
      <x:c r="D106" s="142"/>
      <x:c r="E106" s="142"/>
      <x:c r="F106" s="142"/>
      <x:c r="G106" s="142"/>
      <x:c r="H106" s="142"/>
      <x:c r="I106" s="142"/>
      <x:c r="J106" s="142"/>
      <x:c r="K106" s="142"/>
      <x:c r="L106" s="142"/>
      <x:c r="M106" s="226"/>
      <x:c r="N106" s="226"/>
      <x:c r="O106" s="232" t="str">
        <x:f>IF(A106="","",M106-N106)</x:f>
      </x:c>
      <x:c r="P106" s="220"/>
      <x:c r="Q106" s="232" t="str">
        <x:f>IF(A106="","",O106*P106)</x:f>
      </x:c>
      <x:c r="R106" s="226"/>
      <x:c r="S106" s="232" t="str">
        <x:f>IF(A106="","",Q106-R106)</x:f>
      </x:c>
      <x:c r="T106" s="208"/>
      <x:c r="U106" s="142"/>
      <x:c r="V106" s="142"/>
      <x:c r="W106" s="142"/>
    </x:row>
    <x:row r="107" ht="19" customHeight="1">
      <x:c r="A107" s="208"/>
      <x:c r="B107" s="208"/>
      <x:c r="C107" s="142"/>
      <x:c r="D107" s="142"/>
      <x:c r="E107" s="142"/>
      <x:c r="F107" s="142"/>
      <x:c r="G107" s="142"/>
      <x:c r="H107" s="142"/>
      <x:c r="I107" s="142"/>
      <x:c r="J107" s="142"/>
      <x:c r="K107" s="142"/>
      <x:c r="L107" s="142"/>
      <x:c r="M107" s="226"/>
      <x:c r="N107" s="226"/>
      <x:c r="O107" s="232" t="str">
        <x:f>IF(A107="","",M107-N107)</x:f>
      </x:c>
      <x:c r="P107" s="220"/>
      <x:c r="Q107" s="232" t="str">
        <x:f>IF(A107="","",O107*P107)</x:f>
      </x:c>
      <x:c r="R107" s="226"/>
      <x:c r="S107" s="232" t="str">
        <x:f>IF(A107="","",Q107-R107)</x:f>
      </x:c>
      <x:c r="T107" s="208"/>
      <x:c r="U107" s="142"/>
      <x:c r="V107" s="142"/>
      <x:c r="W107" s="142"/>
    </x:row>
    <x:row r="108" ht="19" customHeight="1">
      <x:c r="A108" s="208"/>
      <x:c r="B108" s="208"/>
      <x:c r="C108" s="142"/>
      <x:c r="D108" s="142"/>
      <x:c r="E108" s="142"/>
      <x:c r="F108" s="142"/>
      <x:c r="G108" s="142"/>
      <x:c r="H108" s="142"/>
      <x:c r="I108" s="142"/>
      <x:c r="J108" s="142"/>
      <x:c r="K108" s="142"/>
      <x:c r="L108" s="142"/>
      <x:c r="M108" s="226"/>
      <x:c r="N108" s="226"/>
      <x:c r="O108" s="232" t="str">
        <x:f>IF(A108="","",M108-N108)</x:f>
      </x:c>
      <x:c r="P108" s="220"/>
      <x:c r="Q108" s="232" t="str">
        <x:f>IF(A108="","",O108*P108)</x:f>
      </x:c>
      <x:c r="R108" s="226"/>
      <x:c r="S108" s="232" t="str">
        <x:f>IF(A108="","",Q108-R108)</x:f>
      </x:c>
      <x:c r="T108" s="208"/>
      <x:c r="U108" s="142"/>
      <x:c r="V108" s="142"/>
      <x:c r="W108" s="142"/>
    </x:row>
    <x:row r="109" ht="19" customHeight="1">
      <x:c r="A109" s="208"/>
      <x:c r="B109" s="208"/>
      <x:c r="C109" s="142"/>
      <x:c r="D109" s="142"/>
      <x:c r="E109" s="142"/>
      <x:c r="F109" s="142"/>
      <x:c r="G109" s="142"/>
      <x:c r="H109" s="142"/>
      <x:c r="I109" s="142"/>
      <x:c r="J109" s="142"/>
      <x:c r="K109" s="142"/>
      <x:c r="L109" s="142"/>
      <x:c r="M109" s="226"/>
      <x:c r="N109" s="226"/>
      <x:c r="O109" s="232" t="str">
        <x:f>IF(A109="","",M109-N109)</x:f>
      </x:c>
      <x:c r="P109" s="220"/>
      <x:c r="Q109" s="232" t="str">
        <x:f>IF(A109="","",O109*P109)</x:f>
      </x:c>
      <x:c r="R109" s="226"/>
      <x:c r="S109" s="232" t="str">
        <x:f>IF(A109="","",Q109-R109)</x:f>
      </x:c>
      <x:c r="T109" s="208"/>
      <x:c r="U109" s="142"/>
      <x:c r="V109" s="142"/>
      <x:c r="W109" s="142"/>
    </x:row>
    <x:row r="110" ht="19" customHeight="1">
      <x:c r="A110" s="208"/>
      <x:c r="B110" s="208"/>
      <x:c r="C110" s="142"/>
      <x:c r="D110" s="142"/>
      <x:c r="E110" s="142"/>
      <x:c r="F110" s="142"/>
      <x:c r="G110" s="142"/>
      <x:c r="H110" s="142"/>
      <x:c r="I110" s="142"/>
      <x:c r="J110" s="142"/>
      <x:c r="K110" s="142"/>
      <x:c r="L110" s="142"/>
      <x:c r="M110" s="226"/>
      <x:c r="N110" s="226"/>
      <x:c r="O110" s="232" t="str">
        <x:f>IF(A110="","",M110-N110)</x:f>
      </x:c>
      <x:c r="P110" s="220"/>
      <x:c r="Q110" s="232" t="str">
        <x:f>IF(A110="","",O110*P110)</x:f>
      </x:c>
      <x:c r="R110" s="226"/>
      <x:c r="S110" s="232" t="str">
        <x:f>IF(A110="","",Q110-R110)</x:f>
      </x:c>
      <x:c r="T110" s="208"/>
      <x:c r="U110" s="142"/>
      <x:c r="V110" s="142"/>
      <x:c r="W110" s="142"/>
    </x:row>
    <x:row r="111" ht="19" customHeight="1">
      <x:c r="A111" s="208"/>
      <x:c r="B111" s="208"/>
      <x:c r="C111" s="142"/>
      <x:c r="D111" s="142"/>
      <x:c r="E111" s="142"/>
      <x:c r="F111" s="142"/>
      <x:c r="G111" s="142"/>
      <x:c r="H111" s="142"/>
      <x:c r="I111" s="142"/>
      <x:c r="J111" s="142"/>
      <x:c r="K111" s="142"/>
      <x:c r="L111" s="142"/>
      <x:c r="M111" s="226"/>
      <x:c r="N111" s="226"/>
      <x:c r="O111" s="232" t="str">
        <x:f>IF(A111="","",M111-N111)</x:f>
      </x:c>
      <x:c r="P111" s="220"/>
      <x:c r="Q111" s="232" t="str">
        <x:f>IF(A111="","",O111*P111)</x:f>
      </x:c>
      <x:c r="R111" s="226"/>
      <x:c r="S111" s="232" t="str">
        <x:f>IF(A111="","",Q111-R111)</x:f>
      </x:c>
      <x:c r="T111" s="208"/>
      <x:c r="U111" s="142"/>
      <x:c r="V111" s="142"/>
      <x:c r="W111" s="142"/>
    </x:row>
    <x:row r="112" ht="19" customHeight="1">
      <x:c r="A112" s="208"/>
      <x:c r="B112" s="208"/>
      <x:c r="C112" s="142"/>
      <x:c r="D112" s="142"/>
      <x:c r="E112" s="142"/>
      <x:c r="F112" s="142"/>
      <x:c r="G112" s="142"/>
      <x:c r="H112" s="142"/>
      <x:c r="I112" s="142"/>
      <x:c r="J112" s="142"/>
      <x:c r="K112" s="142"/>
      <x:c r="L112" s="142"/>
      <x:c r="M112" s="226"/>
      <x:c r="N112" s="226"/>
      <x:c r="O112" s="232" t="str">
        <x:f>IF(A112="","",M112-N112)</x:f>
      </x:c>
      <x:c r="P112" s="220"/>
      <x:c r="Q112" s="232" t="str">
        <x:f>IF(A112="","",O112*P112)</x:f>
      </x:c>
      <x:c r="R112" s="226"/>
      <x:c r="S112" s="232" t="str">
        <x:f>IF(A112="","",Q112-R112)</x:f>
      </x:c>
      <x:c r="T112" s="208"/>
      <x:c r="U112" s="142"/>
      <x:c r="V112" s="142"/>
      <x:c r="W112" s="142"/>
    </x:row>
    <x:row r="113" ht="19" customHeight="1">
      <x:c r="A113" s="208"/>
      <x:c r="B113" s="208"/>
      <x:c r="C113" s="142"/>
      <x:c r="D113" s="142"/>
      <x:c r="E113" s="142"/>
      <x:c r="F113" s="142"/>
      <x:c r="G113" s="142"/>
      <x:c r="H113" s="142"/>
      <x:c r="I113" s="142"/>
      <x:c r="J113" s="142"/>
      <x:c r="K113" s="142"/>
      <x:c r="L113" s="142"/>
      <x:c r="M113" s="226"/>
      <x:c r="N113" s="226"/>
      <x:c r="O113" s="232" t="str">
        <x:f>IF(A113="","",M113-N113)</x:f>
      </x:c>
      <x:c r="P113" s="220"/>
      <x:c r="Q113" s="232" t="str">
        <x:f>IF(A113="","",O113*P113)</x:f>
      </x:c>
      <x:c r="R113" s="226"/>
      <x:c r="S113" s="232" t="str">
        <x:f>IF(A113="","",Q113-R113)</x:f>
      </x:c>
      <x:c r="T113" s="208"/>
      <x:c r="U113" s="142"/>
      <x:c r="V113" s="142"/>
      <x:c r="W113" s="142"/>
    </x:row>
    <x:row r="114" ht="19" customHeight="1">
      <x:c r="A114" s="208"/>
      <x:c r="B114" s="208"/>
      <x:c r="C114" s="142"/>
      <x:c r="D114" s="142"/>
      <x:c r="E114" s="142"/>
      <x:c r="F114" s="142"/>
      <x:c r="G114" s="142"/>
      <x:c r="H114" s="142"/>
      <x:c r="I114" s="142"/>
      <x:c r="J114" s="142"/>
      <x:c r="K114" s="142"/>
      <x:c r="L114" s="142"/>
      <x:c r="M114" s="226"/>
      <x:c r="N114" s="226"/>
      <x:c r="O114" s="232" t="str">
        <x:f>IF(A114="","",M114-N114)</x:f>
      </x:c>
      <x:c r="P114" s="220"/>
      <x:c r="Q114" s="232" t="str">
        <x:f>IF(A114="","",O114*P114)</x:f>
      </x:c>
      <x:c r="R114" s="226"/>
      <x:c r="S114" s="232" t="str">
        <x:f>IF(A114="","",Q114-R114)</x:f>
      </x:c>
      <x:c r="T114" s="208"/>
      <x:c r="U114" s="142"/>
      <x:c r="V114" s="142"/>
      <x:c r="W114" s="142"/>
    </x:row>
    <x:row r="115" ht="19" customHeight="1">
      <x:c r="A115" s="208"/>
      <x:c r="B115" s="208"/>
      <x:c r="C115" s="142"/>
      <x:c r="D115" s="142"/>
      <x:c r="E115" s="142"/>
      <x:c r="F115" s="142"/>
      <x:c r="G115" s="142"/>
      <x:c r="H115" s="142"/>
      <x:c r="I115" s="142"/>
      <x:c r="J115" s="142"/>
      <x:c r="K115" s="142"/>
      <x:c r="L115" s="142"/>
      <x:c r="M115" s="226"/>
      <x:c r="N115" s="226"/>
      <x:c r="O115" s="232" t="str">
        <x:f>IF(A115="","",M115-N115)</x:f>
      </x:c>
      <x:c r="P115" s="220"/>
      <x:c r="Q115" s="232" t="str">
        <x:f>IF(A115="","",O115*P115)</x:f>
      </x:c>
      <x:c r="R115" s="226"/>
      <x:c r="S115" s="232" t="str">
        <x:f>IF(A115="","",Q115-R115)</x:f>
      </x:c>
      <x:c r="T115" s="208"/>
      <x:c r="U115" s="142"/>
      <x:c r="V115" s="142"/>
      <x:c r="W115" s="142"/>
    </x:row>
    <x:row r="116" ht="19" customHeight="1">
      <x:c r="A116" s="208"/>
      <x:c r="B116" s="208"/>
      <x:c r="C116" s="142"/>
      <x:c r="D116" s="142"/>
      <x:c r="E116" s="142"/>
      <x:c r="F116" s="142"/>
      <x:c r="G116" s="142"/>
      <x:c r="H116" s="142"/>
      <x:c r="I116" s="142"/>
      <x:c r="J116" s="142"/>
      <x:c r="K116" s="142"/>
      <x:c r="L116" s="142"/>
      <x:c r="M116" s="226"/>
      <x:c r="N116" s="226"/>
      <x:c r="O116" s="232" t="str">
        <x:f>IF(A116="","",M116-N116)</x:f>
      </x:c>
      <x:c r="P116" s="220"/>
      <x:c r="Q116" s="232" t="str">
        <x:f>IF(A116="","",O116*P116)</x:f>
      </x:c>
      <x:c r="R116" s="226"/>
      <x:c r="S116" s="232" t="str">
        <x:f>IF(A116="","",Q116-R116)</x:f>
      </x:c>
      <x:c r="T116" s="208"/>
      <x:c r="U116" s="142"/>
      <x:c r="V116" s="142"/>
      <x:c r="W116" s="142"/>
    </x:row>
    <x:row r="117" ht="19" customHeight="1">
      <x:c r="A117" s="208"/>
      <x:c r="B117" s="208"/>
      <x:c r="C117" s="142"/>
      <x:c r="D117" s="142"/>
      <x:c r="E117" s="142"/>
      <x:c r="F117" s="142"/>
      <x:c r="G117" s="142"/>
      <x:c r="H117" s="142"/>
      <x:c r="I117" s="142"/>
      <x:c r="J117" s="142"/>
      <x:c r="K117" s="142"/>
      <x:c r="L117" s="142"/>
      <x:c r="M117" s="226"/>
      <x:c r="N117" s="226"/>
      <x:c r="O117" s="232" t="str">
        <x:f>IF(A117="","",M117-N117)</x:f>
      </x:c>
      <x:c r="P117" s="220"/>
      <x:c r="Q117" s="232" t="str">
        <x:f>IF(A117="","",O117*P117)</x:f>
      </x:c>
      <x:c r="R117" s="226"/>
      <x:c r="S117" s="232" t="str">
        <x:f>IF(A117="","",Q117-R117)</x:f>
      </x:c>
      <x:c r="T117" s="208"/>
      <x:c r="U117" s="142"/>
      <x:c r="V117" s="142"/>
      <x:c r="W117" s="142"/>
    </x:row>
    <x:row r="118" ht="19" customHeight="1">
      <x:c r="A118" s="208"/>
      <x:c r="B118" s="208"/>
      <x:c r="C118" s="142"/>
      <x:c r="D118" s="142"/>
      <x:c r="E118" s="142"/>
      <x:c r="F118" s="142"/>
      <x:c r="G118" s="142"/>
      <x:c r="H118" s="142"/>
      <x:c r="I118" s="142"/>
      <x:c r="J118" s="142"/>
      <x:c r="K118" s="142"/>
      <x:c r="L118" s="142"/>
      <x:c r="M118" s="226"/>
      <x:c r="N118" s="226"/>
      <x:c r="O118" s="232" t="str">
        <x:f>IF(A118="","",M118-N118)</x:f>
      </x:c>
      <x:c r="P118" s="220"/>
      <x:c r="Q118" s="232" t="str">
        <x:f>IF(A118="","",O118*P118)</x:f>
      </x:c>
      <x:c r="R118" s="226"/>
      <x:c r="S118" s="232" t="str">
        <x:f>IF(A118="","",Q118-R118)</x:f>
      </x:c>
      <x:c r="T118" s="208"/>
      <x:c r="U118" s="142"/>
      <x:c r="V118" s="142"/>
      <x:c r="W118" s="142"/>
    </x:row>
    <x:row r="119" ht="19" customHeight="1">
      <x:c r="A119" s="208"/>
      <x:c r="B119" s="208"/>
      <x:c r="C119" s="142"/>
      <x:c r="D119" s="142"/>
      <x:c r="E119" s="142"/>
      <x:c r="F119" s="142"/>
      <x:c r="G119" s="142"/>
      <x:c r="H119" s="142"/>
      <x:c r="I119" s="142"/>
      <x:c r="J119" s="142"/>
      <x:c r="K119" s="142"/>
      <x:c r="L119" s="142"/>
      <x:c r="M119" s="226"/>
      <x:c r="N119" s="226"/>
      <x:c r="O119" s="232" t="str">
        <x:f>IF(A119="","",M119-N119)</x:f>
      </x:c>
      <x:c r="P119" s="220"/>
      <x:c r="Q119" s="232" t="str">
        <x:f>IF(A119="","",O119*P119)</x:f>
      </x:c>
      <x:c r="R119" s="226"/>
      <x:c r="S119" s="232" t="str">
        <x:f>IF(A119="","",Q119-R119)</x:f>
      </x:c>
      <x:c r="T119" s="208"/>
      <x:c r="U119" s="142"/>
      <x:c r="V119" s="142"/>
      <x:c r="W119" s="142"/>
    </x:row>
    <x:row r="120" ht="19" customHeight="1">
      <x:c r="A120" s="208"/>
      <x:c r="B120" s="208"/>
      <x:c r="C120" s="142"/>
      <x:c r="D120" s="142"/>
      <x:c r="E120" s="142"/>
      <x:c r="F120" s="142"/>
      <x:c r="G120" s="142"/>
      <x:c r="H120" s="142"/>
      <x:c r="I120" s="142"/>
      <x:c r="J120" s="142"/>
      <x:c r="K120" s="142"/>
      <x:c r="L120" s="142"/>
      <x:c r="M120" s="226"/>
      <x:c r="N120" s="226"/>
      <x:c r="O120" s="232" t="str">
        <x:f>IF(A120="","",M120-N120)</x:f>
      </x:c>
      <x:c r="P120" s="220"/>
      <x:c r="Q120" s="232" t="str">
        <x:f>IF(A120="","",O120*P120)</x:f>
      </x:c>
      <x:c r="R120" s="226"/>
      <x:c r="S120" s="232" t="str">
        <x:f>IF(A120="","",Q120-R120)</x:f>
      </x:c>
      <x:c r="T120" s="208"/>
      <x:c r="U120" s="142"/>
      <x:c r="V120" s="142"/>
      <x:c r="W120" s="142"/>
    </x:row>
    <x:row r="121" ht="19" customHeight="1">
      <x:c r="A121" s="208"/>
      <x:c r="B121" s="208"/>
      <x:c r="C121" s="142"/>
      <x:c r="D121" s="142"/>
      <x:c r="E121" s="142"/>
      <x:c r="F121" s="142"/>
      <x:c r="G121" s="142"/>
      <x:c r="H121" s="142"/>
      <x:c r="I121" s="142"/>
      <x:c r="J121" s="142"/>
      <x:c r="K121" s="142"/>
      <x:c r="L121" s="142"/>
      <x:c r="M121" s="226"/>
      <x:c r="N121" s="226"/>
      <x:c r="O121" s="232" t="str">
        <x:f>IF(A121="","",M121-N121)</x:f>
      </x:c>
      <x:c r="P121" s="220"/>
      <x:c r="Q121" s="232" t="str">
        <x:f>IF(A121="","",O121*P121)</x:f>
      </x:c>
      <x:c r="R121" s="226"/>
      <x:c r="S121" s="232" t="str">
        <x:f>IF(A121="","",Q121-R121)</x:f>
      </x:c>
      <x:c r="T121" s="208"/>
      <x:c r="U121" s="142"/>
      <x:c r="V121" s="142"/>
      <x:c r="W121" s="142"/>
    </x:row>
    <x:row r="122" ht="19" customHeight="1">
      <x:c r="A122" s="208"/>
      <x:c r="B122" s="208"/>
      <x:c r="C122" s="142"/>
      <x:c r="D122" s="142"/>
      <x:c r="E122" s="142"/>
      <x:c r="F122" s="142"/>
      <x:c r="G122" s="142"/>
      <x:c r="H122" s="142"/>
      <x:c r="I122" s="142"/>
      <x:c r="J122" s="142"/>
      <x:c r="K122" s="142"/>
      <x:c r="L122" s="142"/>
      <x:c r="M122" s="226"/>
      <x:c r="N122" s="226"/>
      <x:c r="O122" s="232" t="str">
        <x:f>IF(A122="","",M122-N122)</x:f>
      </x:c>
      <x:c r="P122" s="220"/>
      <x:c r="Q122" s="232" t="str">
        <x:f>IF(A122="","",O122*P122)</x:f>
      </x:c>
      <x:c r="R122" s="226"/>
      <x:c r="S122" s="232" t="str">
        <x:f>IF(A122="","",Q122-R122)</x:f>
      </x:c>
      <x:c r="T122" s="208"/>
      <x:c r="U122" s="142"/>
      <x:c r="V122" s="142"/>
      <x:c r="W122" s="142"/>
    </x:row>
    <x:row r="123" ht="19" customHeight="1">
      <x:c r="A123" s="208"/>
      <x:c r="B123" s="208"/>
      <x:c r="C123" s="142"/>
      <x:c r="D123" s="142"/>
      <x:c r="E123" s="142"/>
      <x:c r="F123" s="142"/>
      <x:c r="G123" s="142"/>
      <x:c r="H123" s="142"/>
      <x:c r="I123" s="142"/>
      <x:c r="J123" s="142"/>
      <x:c r="K123" s="142"/>
      <x:c r="L123" s="142"/>
      <x:c r="M123" s="226"/>
      <x:c r="N123" s="226"/>
      <x:c r="O123" s="232" t="str">
        <x:f>IF(A123="","",M123-N123)</x:f>
      </x:c>
      <x:c r="P123" s="220"/>
      <x:c r="Q123" s="232" t="str">
        <x:f>IF(A123="","",O123*P123)</x:f>
      </x:c>
      <x:c r="R123" s="226"/>
      <x:c r="S123" s="232" t="str">
        <x:f>IF(A123="","",Q123-R123)</x:f>
      </x:c>
      <x:c r="T123" s="208"/>
      <x:c r="U123" s="142"/>
      <x:c r="V123" s="142"/>
      <x:c r="W123" s="142"/>
    </x:row>
    <x:row r="124" ht="19" customHeight="1">
      <x:c r="A124" s="208"/>
      <x:c r="B124" s="208"/>
      <x:c r="C124" s="142"/>
      <x:c r="D124" s="142"/>
      <x:c r="E124" s="142"/>
      <x:c r="F124" s="142"/>
      <x:c r="G124" s="142"/>
      <x:c r="H124" s="142"/>
      <x:c r="I124" s="142"/>
      <x:c r="J124" s="142"/>
      <x:c r="K124" s="142"/>
      <x:c r="L124" s="142"/>
      <x:c r="M124" s="226"/>
      <x:c r="N124" s="226"/>
      <x:c r="O124" s="232" t="str">
        <x:f>IF(A124="","",M124-N124)</x:f>
      </x:c>
      <x:c r="P124" s="220"/>
      <x:c r="Q124" s="232" t="str">
        <x:f>IF(A124="","",O124*P124)</x:f>
      </x:c>
      <x:c r="R124" s="226"/>
      <x:c r="S124" s="232" t="str">
        <x:f>IF(A124="","",Q124-R124)</x:f>
      </x:c>
      <x:c r="T124" s="208"/>
      <x:c r="U124" s="142"/>
      <x:c r="V124" s="142"/>
      <x:c r="W124" s="142"/>
    </x:row>
    <x:row r="125" ht="19" customHeight="1">
      <x:c r="A125" s="208"/>
      <x:c r="B125" s="208"/>
      <x:c r="C125" s="142"/>
      <x:c r="D125" s="142"/>
      <x:c r="E125" s="142"/>
      <x:c r="F125" s="142"/>
      <x:c r="G125" s="142"/>
      <x:c r="H125" s="142"/>
      <x:c r="I125" s="142"/>
      <x:c r="J125" s="142"/>
      <x:c r="K125" s="142"/>
      <x:c r="L125" s="142"/>
      <x:c r="M125" s="226"/>
      <x:c r="N125" s="226"/>
      <x:c r="O125" s="232" t="str">
        <x:f>IF(A125="","",M125-N125)</x:f>
      </x:c>
      <x:c r="P125" s="220"/>
      <x:c r="Q125" s="232" t="str">
        <x:f>IF(A125="","",O125*P125)</x:f>
      </x:c>
      <x:c r="R125" s="226"/>
      <x:c r="S125" s="232" t="str">
        <x:f>IF(A125="","",Q125-R125)</x:f>
      </x:c>
      <x:c r="T125" s="208"/>
      <x:c r="U125" s="142"/>
      <x:c r="V125" s="142"/>
      <x:c r="W125" s="142"/>
    </x:row>
    <x:row r="126" ht="19" customHeight="1">
      <x:c r="A126" s="208"/>
      <x:c r="B126" s="208"/>
      <x:c r="C126" s="142"/>
      <x:c r="D126" s="142"/>
      <x:c r="E126" s="142"/>
      <x:c r="F126" s="142"/>
      <x:c r="G126" s="142"/>
      <x:c r="H126" s="142"/>
      <x:c r="I126" s="142"/>
      <x:c r="J126" s="142"/>
      <x:c r="K126" s="142"/>
      <x:c r="L126" s="142"/>
      <x:c r="M126" s="226"/>
      <x:c r="N126" s="226"/>
      <x:c r="O126" s="232" t="str">
        <x:f>IF(A126="","",M126-N126)</x:f>
      </x:c>
      <x:c r="P126" s="220"/>
      <x:c r="Q126" s="232" t="str">
        <x:f>IF(A126="","",O126*P126)</x:f>
      </x:c>
      <x:c r="R126" s="226"/>
      <x:c r="S126" s="232" t="str">
        <x:f>IF(A126="","",Q126-R126)</x:f>
      </x:c>
      <x:c r="T126" s="208"/>
      <x:c r="U126" s="142"/>
      <x:c r="V126" s="142"/>
      <x:c r="W126" s="142"/>
    </x:row>
    <x:row r="127" ht="19" customHeight="1">
      <x:c r="A127" s="208"/>
      <x:c r="B127" s="208"/>
      <x:c r="C127" s="142"/>
      <x:c r="D127" s="142"/>
      <x:c r="E127" s="142"/>
      <x:c r="F127" s="142"/>
      <x:c r="G127" s="142"/>
      <x:c r="H127" s="142"/>
      <x:c r="I127" s="142"/>
      <x:c r="J127" s="142"/>
      <x:c r="K127" s="142"/>
      <x:c r="L127" s="142"/>
      <x:c r="M127" s="226"/>
      <x:c r="N127" s="226"/>
      <x:c r="O127" s="232" t="str">
        <x:f>IF(A127="","",M127-N127)</x:f>
      </x:c>
      <x:c r="P127" s="220"/>
      <x:c r="Q127" s="232" t="str">
        <x:f>IF(A127="","",O127*P127)</x:f>
      </x:c>
      <x:c r="R127" s="226"/>
      <x:c r="S127" s="232" t="str">
        <x:f>IF(A127="","",Q127-R127)</x:f>
      </x:c>
      <x:c r="T127" s="208"/>
      <x:c r="U127" s="142"/>
      <x:c r="V127" s="142"/>
      <x:c r="W127" s="142"/>
    </x:row>
    <x:row r="128" ht="19" customHeight="1">
      <x:c r="A128" s="208"/>
      <x:c r="B128" s="208"/>
      <x:c r="C128" s="142"/>
      <x:c r="D128" s="142"/>
      <x:c r="E128" s="142"/>
      <x:c r="F128" s="142"/>
      <x:c r="G128" s="142"/>
      <x:c r="H128" s="142"/>
      <x:c r="I128" s="142"/>
      <x:c r="J128" s="142"/>
      <x:c r="K128" s="142"/>
      <x:c r="L128" s="142"/>
      <x:c r="M128" s="226"/>
      <x:c r="N128" s="226"/>
      <x:c r="O128" s="232" t="str">
        <x:f>IF(A128="","",M128-N128)</x:f>
      </x:c>
      <x:c r="P128" s="220"/>
      <x:c r="Q128" s="232" t="str">
        <x:f>IF(A128="","",O128*P128)</x:f>
      </x:c>
      <x:c r="R128" s="226"/>
      <x:c r="S128" s="232" t="str">
        <x:f>IF(A128="","",Q128-R128)</x:f>
      </x:c>
      <x:c r="T128" s="208"/>
      <x:c r="U128" s="142"/>
      <x:c r="V128" s="142"/>
      <x:c r="W128" s="142"/>
    </x:row>
    <x:row r="129" ht="19" customHeight="1">
      <x:c r="A129" s="208"/>
      <x:c r="B129" s="208"/>
      <x:c r="C129" s="142"/>
      <x:c r="D129" s="142"/>
      <x:c r="E129" s="142"/>
      <x:c r="F129" s="142"/>
      <x:c r="G129" s="142"/>
      <x:c r="H129" s="142"/>
      <x:c r="I129" s="142"/>
      <x:c r="J129" s="142"/>
      <x:c r="K129" s="142"/>
      <x:c r="L129" s="142"/>
      <x:c r="M129" s="226"/>
      <x:c r="N129" s="226"/>
      <x:c r="O129" s="232" t="str">
        <x:f>IF(A129="","",M129-N129)</x:f>
      </x:c>
      <x:c r="P129" s="220"/>
      <x:c r="Q129" s="232" t="str">
        <x:f>IF(A129="","",O129*P129)</x:f>
      </x:c>
      <x:c r="R129" s="226"/>
      <x:c r="S129" s="232" t="str">
        <x:f>IF(A129="","",Q129-R129)</x:f>
      </x:c>
      <x:c r="T129" s="208"/>
      <x:c r="U129" s="142"/>
      <x:c r="V129" s="142"/>
      <x:c r="W129" s="142"/>
    </x:row>
    <x:row r="130" ht="19" customHeight="1">
      <x:c r="A130" s="208"/>
      <x:c r="B130" s="208"/>
      <x:c r="C130" s="142"/>
      <x:c r="D130" s="142"/>
      <x:c r="E130" s="142"/>
      <x:c r="F130" s="142"/>
      <x:c r="G130" s="142"/>
      <x:c r="H130" s="142"/>
      <x:c r="I130" s="142"/>
      <x:c r="J130" s="142"/>
      <x:c r="K130" s="142"/>
      <x:c r="L130" s="142"/>
      <x:c r="M130" s="226"/>
      <x:c r="N130" s="226"/>
      <x:c r="O130" s="232" t="str">
        <x:f>IF(A130="","",M130-N130)</x:f>
      </x:c>
      <x:c r="P130" s="220"/>
      <x:c r="Q130" s="232" t="str">
        <x:f>IF(A130="","",O130*P130)</x:f>
      </x:c>
      <x:c r="R130" s="226"/>
      <x:c r="S130" s="232" t="str">
        <x:f>IF(A130="","",Q130-R130)</x:f>
      </x:c>
      <x:c r="T130" s="208"/>
      <x:c r="U130" s="142"/>
      <x:c r="V130" s="142"/>
      <x:c r="W130" s="142"/>
    </x:row>
    <x:row r="131" ht="19" customHeight="1">
      <x:c r="A131" s="208"/>
      <x:c r="B131" s="208"/>
      <x:c r="C131" s="142"/>
      <x:c r="D131" s="142"/>
      <x:c r="E131" s="142"/>
      <x:c r="F131" s="142"/>
      <x:c r="G131" s="142"/>
      <x:c r="H131" s="142"/>
      <x:c r="I131" s="142"/>
      <x:c r="J131" s="142"/>
      <x:c r="K131" s="142"/>
      <x:c r="L131" s="142"/>
      <x:c r="M131" s="226"/>
      <x:c r="N131" s="226"/>
      <x:c r="O131" s="232" t="str">
        <x:f>IF(A131="","",M131-N131)</x:f>
      </x:c>
      <x:c r="P131" s="220"/>
      <x:c r="Q131" s="232" t="str">
        <x:f>IF(A131="","",O131*P131)</x:f>
      </x:c>
      <x:c r="R131" s="226"/>
      <x:c r="S131" s="232" t="str">
        <x:f>IF(A131="","",Q131-R131)</x:f>
      </x:c>
      <x:c r="T131" s="208"/>
      <x:c r="U131" s="142"/>
      <x:c r="V131" s="142"/>
      <x:c r="W131" s="142"/>
    </x:row>
    <x:row r="132" ht="19" customHeight="1">
      <x:c r="A132" s="208"/>
      <x:c r="B132" s="208"/>
      <x:c r="C132" s="142"/>
      <x:c r="D132" s="142"/>
      <x:c r="E132" s="142"/>
      <x:c r="F132" s="142"/>
      <x:c r="G132" s="142"/>
      <x:c r="H132" s="142"/>
      <x:c r="I132" s="142"/>
      <x:c r="J132" s="142"/>
      <x:c r="K132" s="142"/>
      <x:c r="L132" s="142"/>
      <x:c r="M132" s="226"/>
      <x:c r="N132" s="226"/>
      <x:c r="O132" s="232" t="str">
        <x:f>IF(A132="","",M132-N132)</x:f>
      </x:c>
      <x:c r="P132" s="220"/>
      <x:c r="Q132" s="232" t="str">
        <x:f>IF(A132="","",O132*P132)</x:f>
      </x:c>
      <x:c r="R132" s="226"/>
      <x:c r="S132" s="232" t="str">
        <x:f>IF(A132="","",Q132-R132)</x:f>
      </x:c>
      <x:c r="T132" s="208"/>
      <x:c r="U132" s="142"/>
      <x:c r="V132" s="142"/>
      <x:c r="W132" s="142"/>
    </x:row>
    <x:row r="133" ht="19" customHeight="1">
      <x:c r="A133" s="208"/>
      <x:c r="B133" s="208"/>
      <x:c r="C133" s="142"/>
      <x:c r="D133" s="142"/>
      <x:c r="E133" s="142"/>
      <x:c r="F133" s="142"/>
      <x:c r="G133" s="142"/>
      <x:c r="H133" s="142"/>
      <x:c r="I133" s="142"/>
      <x:c r="J133" s="142"/>
      <x:c r="K133" s="142"/>
      <x:c r="L133" s="142"/>
      <x:c r="M133" s="226"/>
      <x:c r="N133" s="226"/>
      <x:c r="O133" s="232" t="str">
        <x:f>IF(A133="","",M133-N133)</x:f>
      </x:c>
      <x:c r="P133" s="220"/>
      <x:c r="Q133" s="232" t="str">
        <x:f>IF(A133="","",O133*P133)</x:f>
      </x:c>
      <x:c r="R133" s="226"/>
      <x:c r="S133" s="232" t="str">
        <x:f>IF(A133="","",Q133-R133)</x:f>
      </x:c>
      <x:c r="T133" s="208"/>
      <x:c r="U133" s="142"/>
      <x:c r="V133" s="142"/>
      <x:c r="W133" s="142"/>
    </x:row>
    <x:row r="134" ht="19" customHeight="1">
      <x:c r="A134" s="208"/>
      <x:c r="B134" s="208"/>
      <x:c r="C134" s="142"/>
      <x:c r="D134" s="142"/>
      <x:c r="E134" s="142"/>
      <x:c r="F134" s="142"/>
      <x:c r="G134" s="142"/>
      <x:c r="H134" s="142"/>
      <x:c r="I134" s="142"/>
      <x:c r="J134" s="142"/>
      <x:c r="K134" s="142"/>
      <x:c r="L134" s="142"/>
      <x:c r="M134" s="226"/>
      <x:c r="N134" s="226"/>
      <x:c r="O134" s="232" t="str">
        <x:f>IF(A134="","",M134-N134)</x:f>
      </x:c>
      <x:c r="P134" s="220"/>
      <x:c r="Q134" s="232" t="str">
        <x:f>IF(A134="","",O134*P134)</x:f>
      </x:c>
      <x:c r="R134" s="226"/>
      <x:c r="S134" s="232" t="str">
        <x:f>IF(A134="","",Q134-R134)</x:f>
      </x:c>
      <x:c r="T134" s="208"/>
      <x:c r="U134" s="142"/>
      <x:c r="V134" s="142"/>
      <x:c r="W134" s="142"/>
    </x:row>
    <x:row r="135" ht="19" customHeight="1">
      <x:c r="A135" s="208"/>
      <x:c r="B135" s="208"/>
      <x:c r="C135" s="142"/>
      <x:c r="D135" s="142"/>
      <x:c r="E135" s="142"/>
      <x:c r="F135" s="142"/>
      <x:c r="G135" s="142"/>
      <x:c r="H135" s="142"/>
      <x:c r="I135" s="142"/>
      <x:c r="J135" s="142"/>
      <x:c r="K135" s="142"/>
      <x:c r="L135" s="142"/>
      <x:c r="M135" s="226"/>
      <x:c r="N135" s="226"/>
      <x:c r="O135" s="232" t="str">
        <x:f>IF(A135="","",M135-N135)</x:f>
      </x:c>
      <x:c r="P135" s="220"/>
      <x:c r="Q135" s="232" t="str">
        <x:f>IF(A135="","",O135*P135)</x:f>
      </x:c>
      <x:c r="R135" s="226"/>
      <x:c r="S135" s="232" t="str">
        <x:f>IF(A135="","",Q135-R135)</x:f>
      </x:c>
      <x:c r="T135" s="208"/>
      <x:c r="U135" s="142"/>
      <x:c r="V135" s="142"/>
      <x:c r="W135" s="142"/>
    </x:row>
    <x:row r="136" ht="19" customHeight="1">
      <x:c r="A136" s="208"/>
      <x:c r="B136" s="208"/>
      <x:c r="C136" s="142"/>
      <x:c r="D136" s="142"/>
      <x:c r="E136" s="142"/>
      <x:c r="F136" s="142"/>
      <x:c r="G136" s="142"/>
      <x:c r="H136" s="142"/>
      <x:c r="I136" s="142"/>
      <x:c r="J136" s="142"/>
      <x:c r="K136" s="142"/>
      <x:c r="L136" s="142"/>
      <x:c r="M136" s="226"/>
      <x:c r="N136" s="226"/>
      <x:c r="O136" s="232" t="str">
        <x:f>IF(A136="","",M136-N136)</x:f>
      </x:c>
      <x:c r="P136" s="220"/>
      <x:c r="Q136" s="232" t="str">
        <x:f>IF(A136="","",O136*P136)</x:f>
      </x:c>
      <x:c r="R136" s="226"/>
      <x:c r="S136" s="232" t="str">
        <x:f>IF(A136="","",Q136-R136)</x:f>
      </x:c>
      <x:c r="T136" s="208"/>
      <x:c r="U136" s="142"/>
      <x:c r="V136" s="142"/>
      <x:c r="W136" s="142"/>
    </x:row>
    <x:row r="137" ht="19" customHeight="1">
      <x:c r="A137" s="208"/>
      <x:c r="B137" s="208"/>
      <x:c r="C137" s="142"/>
      <x:c r="D137" s="142"/>
      <x:c r="E137" s="142"/>
      <x:c r="F137" s="142"/>
      <x:c r="G137" s="142"/>
      <x:c r="H137" s="142"/>
      <x:c r="I137" s="142"/>
      <x:c r="J137" s="142"/>
      <x:c r="K137" s="142"/>
      <x:c r="L137" s="142"/>
      <x:c r="M137" s="226"/>
      <x:c r="N137" s="226"/>
      <x:c r="O137" s="232" t="str">
        <x:f>IF(A137="","",M137-N137)</x:f>
      </x:c>
      <x:c r="P137" s="220"/>
      <x:c r="Q137" s="232" t="str">
        <x:f>IF(A137="","",O137*P137)</x:f>
      </x:c>
      <x:c r="R137" s="226"/>
      <x:c r="S137" s="232" t="str">
        <x:f>IF(A137="","",Q137-R137)</x:f>
      </x:c>
      <x:c r="T137" s="208"/>
      <x:c r="U137" s="142"/>
      <x:c r="V137" s="142"/>
      <x:c r="W137" s="142"/>
    </x:row>
    <x:row r="138" ht="19" customHeight="1">
      <x:c r="A138" s="208"/>
      <x:c r="B138" s="208"/>
      <x:c r="C138" s="142"/>
      <x:c r="D138" s="142"/>
      <x:c r="E138" s="142"/>
      <x:c r="F138" s="142"/>
      <x:c r="G138" s="142"/>
      <x:c r="H138" s="142"/>
      <x:c r="I138" s="142"/>
      <x:c r="J138" s="142"/>
      <x:c r="K138" s="142"/>
      <x:c r="L138" s="142"/>
      <x:c r="M138" s="226"/>
      <x:c r="N138" s="226"/>
      <x:c r="O138" s="232" t="str">
        <x:f>IF(A138="","",M138-N138)</x:f>
      </x:c>
      <x:c r="P138" s="220"/>
      <x:c r="Q138" s="232" t="str">
        <x:f>IF(A138="","",O138*P138)</x:f>
      </x:c>
      <x:c r="R138" s="226"/>
      <x:c r="S138" s="232" t="str">
        <x:f>IF(A138="","",Q138-R138)</x:f>
      </x:c>
      <x:c r="T138" s="208"/>
      <x:c r="U138" s="142"/>
      <x:c r="V138" s="142"/>
      <x:c r="W138" s="142"/>
    </x:row>
    <x:row r="139" ht="19" customHeight="1">
      <x:c r="A139" s="208"/>
      <x:c r="B139" s="208"/>
      <x:c r="C139" s="142"/>
      <x:c r="D139" s="142"/>
      <x:c r="E139" s="142"/>
      <x:c r="F139" s="142"/>
      <x:c r="G139" s="142"/>
      <x:c r="H139" s="142"/>
      <x:c r="I139" s="142"/>
      <x:c r="J139" s="142"/>
      <x:c r="K139" s="142"/>
      <x:c r="L139" s="142"/>
      <x:c r="M139" s="226"/>
      <x:c r="N139" s="226"/>
      <x:c r="O139" s="232" t="str">
        <x:f>IF(A139="","",M139-N139)</x:f>
      </x:c>
      <x:c r="P139" s="220"/>
      <x:c r="Q139" s="232" t="str">
        <x:f>IF(A139="","",O139*P139)</x:f>
      </x:c>
      <x:c r="R139" s="226"/>
      <x:c r="S139" s="232" t="str">
        <x:f>IF(A139="","",Q139-R139)</x:f>
      </x:c>
      <x:c r="T139" s="208"/>
      <x:c r="U139" s="142"/>
      <x:c r="V139" s="142"/>
      <x:c r="W139" s="142"/>
    </x:row>
    <x:row r="140" ht="19" customHeight="1">
      <x:c r="A140" s="208"/>
      <x:c r="B140" s="208"/>
      <x:c r="C140" s="142"/>
      <x:c r="D140" s="142"/>
      <x:c r="E140" s="142"/>
      <x:c r="F140" s="142"/>
      <x:c r="G140" s="142"/>
      <x:c r="H140" s="142"/>
      <x:c r="I140" s="142"/>
      <x:c r="J140" s="142"/>
      <x:c r="K140" s="142"/>
      <x:c r="L140" s="142"/>
      <x:c r="M140" s="226"/>
      <x:c r="N140" s="226"/>
      <x:c r="O140" s="232" t="str">
        <x:f>IF(A140="","",M140-N140)</x:f>
      </x:c>
      <x:c r="P140" s="220"/>
      <x:c r="Q140" s="232" t="str">
        <x:f>IF(A140="","",O140*P140)</x:f>
      </x:c>
      <x:c r="R140" s="226"/>
      <x:c r="S140" s="232" t="str">
        <x:f>IF(A140="","",Q140-R140)</x:f>
      </x:c>
      <x:c r="T140" s="208"/>
      <x:c r="U140" s="142"/>
      <x:c r="V140" s="142"/>
      <x:c r="W140" s="142"/>
    </x:row>
    <x:row r="141" ht="19" customHeight="1">
      <x:c r="A141" s="208"/>
      <x:c r="B141" s="208"/>
      <x:c r="C141" s="142"/>
      <x:c r="D141" s="142"/>
      <x:c r="E141" s="142"/>
      <x:c r="F141" s="142"/>
      <x:c r="G141" s="142"/>
      <x:c r="H141" s="142"/>
      <x:c r="I141" s="142"/>
      <x:c r="J141" s="142"/>
      <x:c r="K141" s="142"/>
      <x:c r="L141" s="142"/>
      <x:c r="M141" s="226"/>
      <x:c r="N141" s="226"/>
      <x:c r="O141" s="232" t="str">
        <x:f>IF(A141="","",M141-N141)</x:f>
      </x:c>
      <x:c r="P141" s="220"/>
      <x:c r="Q141" s="232" t="str">
        <x:f>IF(A141="","",O141*P141)</x:f>
      </x:c>
      <x:c r="R141" s="226"/>
      <x:c r="S141" s="232" t="str">
        <x:f>IF(A141="","",Q141-R141)</x:f>
      </x:c>
      <x:c r="T141" s="208"/>
      <x:c r="U141" s="142"/>
      <x:c r="V141" s="142"/>
      <x:c r="W141" s="142"/>
    </x:row>
    <x:row r="142" ht="19" customHeight="1">
      <x:c r="A142" s="208"/>
      <x:c r="B142" s="208"/>
      <x:c r="C142" s="142"/>
      <x:c r="D142" s="142"/>
      <x:c r="E142" s="142"/>
      <x:c r="F142" s="142"/>
      <x:c r="G142" s="142"/>
      <x:c r="H142" s="142"/>
      <x:c r="I142" s="142"/>
      <x:c r="J142" s="142"/>
      <x:c r="K142" s="142"/>
      <x:c r="L142" s="142"/>
      <x:c r="M142" s="226"/>
      <x:c r="N142" s="226"/>
      <x:c r="O142" s="232" t="str">
        <x:f>IF(A142="","",M142-N142)</x:f>
      </x:c>
      <x:c r="P142" s="220"/>
      <x:c r="Q142" s="232" t="str">
        <x:f>IF(A142="","",O142*P142)</x:f>
      </x:c>
      <x:c r="R142" s="226"/>
      <x:c r="S142" s="232" t="str">
        <x:f>IF(A142="","",Q142-R142)</x:f>
      </x:c>
      <x:c r="T142" s="208"/>
      <x:c r="U142" s="142"/>
      <x:c r="V142" s="142"/>
      <x:c r="W142" s="142"/>
    </x:row>
    <x:row r="143" ht="19" customHeight="1">
      <x:c r="A143" s="208"/>
      <x:c r="B143" s="208"/>
      <x:c r="C143" s="142"/>
      <x:c r="D143" s="142"/>
      <x:c r="E143" s="142"/>
      <x:c r="F143" s="142"/>
      <x:c r="G143" s="142"/>
      <x:c r="H143" s="142"/>
      <x:c r="I143" s="142"/>
      <x:c r="J143" s="142"/>
      <x:c r="K143" s="142"/>
      <x:c r="L143" s="142"/>
      <x:c r="M143" s="226"/>
      <x:c r="N143" s="226"/>
      <x:c r="O143" s="232" t="str">
        <x:f>IF(A143="","",M143-N143)</x:f>
      </x:c>
      <x:c r="P143" s="220"/>
      <x:c r="Q143" s="232" t="str">
        <x:f>IF(A143="","",O143*P143)</x:f>
      </x:c>
      <x:c r="R143" s="226"/>
      <x:c r="S143" s="232" t="str">
        <x:f>IF(A143="","",Q143-R143)</x:f>
      </x:c>
      <x:c r="T143" s="208"/>
      <x:c r="U143" s="142"/>
      <x:c r="V143" s="142"/>
      <x:c r="W143" s="142"/>
    </x:row>
    <x:row r="144" ht="19" customHeight="1">
      <x:c r="A144" s="208"/>
      <x:c r="B144" s="208"/>
      <x:c r="C144" s="142"/>
      <x:c r="D144" s="142"/>
      <x:c r="E144" s="142"/>
      <x:c r="F144" s="142"/>
      <x:c r="G144" s="142"/>
      <x:c r="H144" s="142"/>
      <x:c r="I144" s="142"/>
      <x:c r="J144" s="142"/>
      <x:c r="K144" s="142"/>
      <x:c r="L144" s="142"/>
      <x:c r="M144" s="226"/>
      <x:c r="N144" s="226"/>
      <x:c r="O144" s="232" t="str">
        <x:f>IF(A144="","",M144-N144)</x:f>
      </x:c>
      <x:c r="P144" s="220"/>
      <x:c r="Q144" s="232" t="str">
        <x:f>IF(A144="","",O144*P144)</x:f>
      </x:c>
      <x:c r="R144" s="226"/>
      <x:c r="S144" s="232" t="str">
        <x:f>IF(A144="","",Q144-R144)</x:f>
      </x:c>
      <x:c r="T144" s="208"/>
      <x:c r="U144" s="142"/>
      <x:c r="V144" s="142"/>
      <x:c r="W144" s="142"/>
    </x:row>
    <x:row r="145" ht="19" customHeight="1">
      <x:c r="A145" s="208"/>
      <x:c r="B145" s="208"/>
      <x:c r="C145" s="142"/>
      <x:c r="D145" s="142"/>
      <x:c r="E145" s="142"/>
      <x:c r="F145" s="142"/>
      <x:c r="G145" s="142"/>
      <x:c r="H145" s="142"/>
      <x:c r="I145" s="142"/>
      <x:c r="J145" s="142"/>
      <x:c r="K145" s="142"/>
      <x:c r="L145" s="142"/>
      <x:c r="M145" s="226"/>
      <x:c r="N145" s="226"/>
      <x:c r="O145" s="232" t="str">
        <x:f>IF(A145="","",M145-N145)</x:f>
      </x:c>
      <x:c r="P145" s="220"/>
      <x:c r="Q145" s="232" t="str">
        <x:f>IF(A145="","",O145*P145)</x:f>
      </x:c>
      <x:c r="R145" s="226"/>
      <x:c r="S145" s="232" t="str">
        <x:f>IF(A145="","",Q145-R145)</x:f>
      </x:c>
      <x:c r="T145" s="208"/>
      <x:c r="U145" s="142"/>
      <x:c r="V145" s="142"/>
      <x:c r="W145" s="142"/>
    </x:row>
    <x:row r="146" ht="19" customHeight="1">
      <x:c r="A146" s="208"/>
      <x:c r="B146" s="208"/>
      <x:c r="C146" s="142"/>
      <x:c r="D146" s="142"/>
      <x:c r="E146" s="142"/>
      <x:c r="F146" s="142"/>
      <x:c r="G146" s="142"/>
      <x:c r="H146" s="142"/>
      <x:c r="I146" s="142"/>
      <x:c r="J146" s="142"/>
      <x:c r="K146" s="142"/>
      <x:c r="L146" s="142"/>
      <x:c r="M146" s="226"/>
      <x:c r="N146" s="226"/>
      <x:c r="O146" s="232" t="str">
        <x:f>IF(A146="","",M146-N146)</x:f>
      </x:c>
      <x:c r="P146" s="220"/>
      <x:c r="Q146" s="232" t="str">
        <x:f>IF(A146="","",O146*P146)</x:f>
      </x:c>
      <x:c r="R146" s="226"/>
      <x:c r="S146" s="232" t="str">
        <x:f>IF(A146="","",Q146-R146)</x:f>
      </x:c>
      <x:c r="T146" s="208"/>
      <x:c r="U146" s="142"/>
      <x:c r="V146" s="142"/>
      <x:c r="W146" s="142"/>
    </x:row>
    <x:row r="147" ht="19" customHeight="1">
      <x:c r="A147" s="208"/>
      <x:c r="B147" s="208"/>
      <x:c r="C147" s="142"/>
      <x:c r="D147" s="142"/>
      <x:c r="E147" s="142"/>
      <x:c r="F147" s="142"/>
      <x:c r="G147" s="142"/>
      <x:c r="H147" s="142"/>
      <x:c r="I147" s="142"/>
      <x:c r="J147" s="142"/>
      <x:c r="K147" s="142"/>
      <x:c r="L147" s="142"/>
      <x:c r="M147" s="226"/>
      <x:c r="N147" s="226"/>
      <x:c r="O147" s="232" t="str">
        <x:f>IF(A147="","",M147-N147)</x:f>
      </x:c>
      <x:c r="P147" s="220"/>
      <x:c r="Q147" s="232" t="str">
        <x:f>IF(A147="","",O147*P147)</x:f>
      </x:c>
      <x:c r="R147" s="226"/>
      <x:c r="S147" s="232" t="str">
        <x:f>IF(A147="","",Q147-R147)</x:f>
      </x:c>
      <x:c r="T147" s="208"/>
      <x:c r="U147" s="142"/>
      <x:c r="V147" s="142"/>
      <x:c r="W147" s="142"/>
    </x:row>
    <x:row r="148" ht="19" customHeight="1">
      <x:c r="A148" s="208"/>
      <x:c r="B148" s="208"/>
      <x:c r="C148" s="142"/>
      <x:c r="D148" s="142"/>
      <x:c r="E148" s="142"/>
      <x:c r="F148" s="142"/>
      <x:c r="G148" s="142"/>
      <x:c r="H148" s="142"/>
      <x:c r="I148" s="142"/>
      <x:c r="J148" s="142"/>
      <x:c r="K148" s="142"/>
      <x:c r="L148" s="142"/>
      <x:c r="M148" s="226"/>
      <x:c r="N148" s="226"/>
      <x:c r="O148" s="232" t="str">
        <x:f>IF(A148="","",M148-N148)</x:f>
      </x:c>
      <x:c r="P148" s="220"/>
      <x:c r="Q148" s="232" t="str">
        <x:f>IF(A148="","",O148*P148)</x:f>
      </x:c>
      <x:c r="R148" s="226"/>
      <x:c r="S148" s="232" t="str">
        <x:f>IF(A148="","",Q148-R148)</x:f>
      </x:c>
      <x:c r="T148" s="208"/>
      <x:c r="U148" s="142"/>
      <x:c r="V148" s="142"/>
      <x:c r="W148" s="142"/>
    </x:row>
    <x:row r="149" ht="19" customHeight="1">
      <x:c r="A149" s="208"/>
      <x:c r="B149" s="208"/>
      <x:c r="C149" s="142"/>
      <x:c r="D149" s="142"/>
      <x:c r="E149" s="142"/>
      <x:c r="F149" s="142"/>
      <x:c r="G149" s="142"/>
      <x:c r="H149" s="142"/>
      <x:c r="I149" s="142"/>
      <x:c r="J149" s="142"/>
      <x:c r="K149" s="142"/>
      <x:c r="L149" s="142"/>
      <x:c r="M149" s="226"/>
      <x:c r="N149" s="226"/>
      <x:c r="O149" s="232" t="str">
        <x:f>IF(A149="","",M149-N149)</x:f>
      </x:c>
      <x:c r="P149" s="220"/>
      <x:c r="Q149" s="232" t="str">
        <x:f>IF(A149="","",O149*P149)</x:f>
      </x:c>
      <x:c r="R149" s="226"/>
      <x:c r="S149" s="232" t="str">
        <x:f>IF(A149="","",Q149-R149)</x:f>
      </x:c>
      <x:c r="T149" s="208"/>
      <x:c r="U149" s="142"/>
      <x:c r="V149" s="142"/>
      <x:c r="W149" s="142"/>
    </x:row>
    <x:row r="150" ht="19" customHeight="1">
      <x:c r="A150" s="208"/>
      <x:c r="B150" s="208"/>
      <x:c r="C150" s="142"/>
      <x:c r="D150" s="142"/>
      <x:c r="E150" s="142"/>
      <x:c r="F150" s="142"/>
      <x:c r="G150" s="142"/>
      <x:c r="H150" s="142"/>
      <x:c r="I150" s="142"/>
      <x:c r="J150" s="142"/>
      <x:c r="K150" s="142"/>
      <x:c r="L150" s="142"/>
      <x:c r="M150" s="226"/>
      <x:c r="N150" s="226"/>
      <x:c r="O150" s="232" t="str">
        <x:f>IF(A150="","",M150-N150)</x:f>
      </x:c>
      <x:c r="P150" s="220"/>
      <x:c r="Q150" s="232" t="str">
        <x:f>IF(A150="","",O150*P150)</x:f>
      </x:c>
      <x:c r="R150" s="226"/>
      <x:c r="S150" s="232" t="str">
        <x:f>IF(A150="","",Q150-R150)</x:f>
      </x:c>
      <x:c r="T150" s="208"/>
      <x:c r="U150" s="142"/>
      <x:c r="V150" s="142"/>
      <x:c r="W150" s="142"/>
    </x:row>
    <x:row r="151" ht="19" customHeight="1">
      <x:c r="A151" s="208"/>
      <x:c r="B151" s="208"/>
      <x:c r="C151" s="142"/>
      <x:c r="D151" s="142"/>
      <x:c r="E151" s="142"/>
      <x:c r="F151" s="142"/>
      <x:c r="G151" s="142"/>
      <x:c r="H151" s="142"/>
      <x:c r="I151" s="142"/>
      <x:c r="J151" s="142"/>
      <x:c r="K151" s="142"/>
      <x:c r="L151" s="142"/>
      <x:c r="M151" s="226"/>
      <x:c r="N151" s="226"/>
      <x:c r="O151" s="232" t="str">
        <x:f>IF(A151="","",M151-N151)</x:f>
      </x:c>
      <x:c r="P151" s="220"/>
      <x:c r="Q151" s="232" t="str">
        <x:f>IF(A151="","",O151*P151)</x:f>
      </x:c>
      <x:c r="R151" s="226"/>
      <x:c r="S151" s="232" t="str">
        <x:f>IF(A151="","",Q151-R151)</x:f>
      </x:c>
      <x:c r="T151" s="208"/>
      <x:c r="U151" s="142"/>
      <x:c r="V151" s="142"/>
      <x:c r="W151" s="142"/>
    </x:row>
    <x:row r="152" ht="19" customHeight="1">
      <x:c r="A152" s="208"/>
      <x:c r="B152" s="208"/>
      <x:c r="C152" s="142"/>
      <x:c r="D152" s="142"/>
      <x:c r="E152" s="142"/>
      <x:c r="F152" s="142"/>
      <x:c r="G152" s="142"/>
      <x:c r="H152" s="142"/>
      <x:c r="I152" s="142"/>
      <x:c r="J152" s="142"/>
      <x:c r="K152" s="142"/>
      <x:c r="L152" s="142"/>
      <x:c r="M152" s="226"/>
      <x:c r="N152" s="226"/>
      <x:c r="O152" s="232" t="str">
        <x:f>IF(A152="","",M152-N152)</x:f>
      </x:c>
      <x:c r="P152" s="220"/>
      <x:c r="Q152" s="232" t="str">
        <x:f>IF(A152="","",O152*P152)</x:f>
      </x:c>
      <x:c r="R152" s="226"/>
      <x:c r="S152" s="232" t="str">
        <x:f>IF(A152="","",Q152-R152)</x:f>
      </x:c>
      <x:c r="T152" s="208"/>
      <x:c r="U152" s="142"/>
      <x:c r="V152" s="142"/>
      <x:c r="W152" s="142"/>
    </x:row>
    <x:row r="153" ht="19" customHeight="1">
      <x:c r="A153" s="208"/>
      <x:c r="B153" s="208"/>
      <x:c r="C153" s="142"/>
      <x:c r="D153" s="142"/>
      <x:c r="E153" s="142"/>
      <x:c r="F153" s="142"/>
      <x:c r="G153" s="142"/>
      <x:c r="H153" s="142"/>
      <x:c r="I153" s="142"/>
      <x:c r="J153" s="142"/>
      <x:c r="K153" s="142"/>
      <x:c r="L153" s="142"/>
      <x:c r="M153" s="226"/>
      <x:c r="N153" s="226"/>
      <x:c r="O153" s="232" t="str">
        <x:f>IF(A153="","",M153-N153)</x:f>
      </x:c>
      <x:c r="P153" s="220"/>
      <x:c r="Q153" s="232" t="str">
        <x:f>IF(A153="","",O153*P153)</x:f>
      </x:c>
      <x:c r="R153" s="226"/>
      <x:c r="S153" s="232" t="str">
        <x:f>IF(A153="","",Q153-R153)</x:f>
      </x:c>
      <x:c r="T153" s="208"/>
      <x:c r="U153" s="142"/>
      <x:c r="V153" s="142"/>
      <x:c r="W153" s="142"/>
    </x:row>
    <x:row r="154" ht="19" customHeight="1">
      <x:c r="A154" s="208"/>
      <x:c r="B154" s="208"/>
      <x:c r="C154" s="142"/>
      <x:c r="D154" s="142"/>
      <x:c r="E154" s="142"/>
      <x:c r="F154" s="142"/>
      <x:c r="G154" s="142"/>
      <x:c r="H154" s="142"/>
      <x:c r="I154" s="142"/>
      <x:c r="J154" s="142"/>
      <x:c r="K154" s="142"/>
      <x:c r="L154" s="142"/>
      <x:c r="M154" s="226"/>
      <x:c r="N154" s="226"/>
      <x:c r="O154" s="232" t="str">
        <x:f>IF(A154="","",M154-N154)</x:f>
      </x:c>
      <x:c r="P154" s="220"/>
      <x:c r="Q154" s="232" t="str">
        <x:f>IF(A154="","",O154*P154)</x:f>
      </x:c>
      <x:c r="R154" s="226"/>
      <x:c r="S154" s="232" t="str">
        <x:f>IF(A154="","",Q154-R154)</x:f>
      </x:c>
      <x:c r="T154" s="208"/>
      <x:c r="U154" s="142"/>
      <x:c r="V154" s="142"/>
      <x:c r="W154" s="142"/>
    </x:row>
    <x:row r="155" ht="19" customHeight="1">
      <x:c r="A155" s="208"/>
      <x:c r="B155" s="208"/>
      <x:c r="C155" s="142"/>
      <x:c r="D155" s="142"/>
      <x:c r="E155" s="142"/>
      <x:c r="F155" s="142"/>
      <x:c r="G155" s="142"/>
      <x:c r="H155" s="142"/>
      <x:c r="I155" s="142"/>
      <x:c r="J155" s="142"/>
      <x:c r="K155" s="142"/>
      <x:c r="L155" s="142"/>
      <x:c r="M155" s="226"/>
      <x:c r="N155" s="226"/>
      <x:c r="O155" s="232" t="str">
        <x:f>IF(A155="","",M155-N155)</x:f>
      </x:c>
      <x:c r="P155" s="220"/>
      <x:c r="Q155" s="232" t="str">
        <x:f>IF(A155="","",O155*P155)</x:f>
      </x:c>
      <x:c r="R155" s="226"/>
      <x:c r="S155" s="232" t="str">
        <x:f>IF(A155="","",Q155-R155)</x:f>
      </x:c>
      <x:c r="T155" s="208"/>
      <x:c r="U155" s="142"/>
      <x:c r="V155" s="142"/>
      <x:c r="W155" s="142"/>
    </x:row>
    <x:row r="156" ht="19" customHeight="1">
      <x:c r="A156" s="208"/>
      <x:c r="B156" s="208"/>
      <x:c r="C156" s="142"/>
      <x:c r="D156" s="142"/>
      <x:c r="E156" s="142"/>
      <x:c r="F156" s="142"/>
      <x:c r="G156" s="142"/>
      <x:c r="H156" s="142"/>
      <x:c r="I156" s="142"/>
      <x:c r="J156" s="142"/>
      <x:c r="K156" s="142"/>
      <x:c r="L156" s="142"/>
      <x:c r="M156" s="226"/>
      <x:c r="N156" s="226"/>
      <x:c r="O156" s="232" t="str">
        <x:f>IF(A156="","",M156-N156)</x:f>
      </x:c>
      <x:c r="P156" s="220"/>
      <x:c r="Q156" s="232" t="str">
        <x:f>IF(A156="","",O156*P156)</x:f>
      </x:c>
      <x:c r="R156" s="226"/>
      <x:c r="S156" s="232" t="str">
        <x:f>IF(A156="","",Q156-R156)</x:f>
      </x:c>
      <x:c r="T156" s="208"/>
      <x:c r="U156" s="142"/>
      <x:c r="V156" s="142"/>
      <x:c r="W156" s="142"/>
    </x:row>
    <x:row r="157" ht="19" customHeight="1">
      <x:c r="A157" s="208"/>
      <x:c r="B157" s="208"/>
      <x:c r="C157" s="142"/>
      <x:c r="D157" s="142"/>
      <x:c r="E157" s="142"/>
      <x:c r="F157" s="142"/>
      <x:c r="G157" s="142"/>
      <x:c r="H157" s="142"/>
      <x:c r="I157" s="142"/>
      <x:c r="J157" s="142"/>
      <x:c r="K157" s="142"/>
      <x:c r="L157" s="142"/>
      <x:c r="M157" s="226"/>
      <x:c r="N157" s="226"/>
      <x:c r="O157" s="232" t="str">
        <x:f>IF(A157="","",M157-N157)</x:f>
      </x:c>
      <x:c r="P157" s="220"/>
      <x:c r="Q157" s="232" t="str">
        <x:f>IF(A157="","",O157*P157)</x:f>
      </x:c>
      <x:c r="R157" s="226"/>
      <x:c r="S157" s="232" t="str">
        <x:f>IF(A157="","",Q157-R157)</x:f>
      </x:c>
      <x:c r="T157" s="208"/>
      <x:c r="U157" s="142"/>
      <x:c r="V157" s="142"/>
      <x:c r="W157" s="142"/>
    </x:row>
    <x:row r="158" ht="19" customHeight="1">
      <x:c r="A158" s="208"/>
      <x:c r="B158" s="208"/>
      <x:c r="C158" s="142"/>
      <x:c r="D158" s="142"/>
      <x:c r="E158" s="142"/>
      <x:c r="F158" s="142"/>
      <x:c r="G158" s="142"/>
      <x:c r="H158" s="142"/>
      <x:c r="I158" s="142"/>
      <x:c r="J158" s="142"/>
      <x:c r="K158" s="142"/>
      <x:c r="L158" s="142"/>
      <x:c r="M158" s="226"/>
      <x:c r="N158" s="226"/>
      <x:c r="O158" s="232" t="str">
        <x:f>IF(A158="","",M158-N158)</x:f>
      </x:c>
      <x:c r="P158" s="220"/>
      <x:c r="Q158" s="232" t="str">
        <x:f>IF(A158="","",O158*P158)</x:f>
      </x:c>
      <x:c r="R158" s="226"/>
      <x:c r="S158" s="232" t="str">
        <x:f>IF(A158="","",Q158-R158)</x:f>
      </x:c>
      <x:c r="T158" s="208"/>
      <x:c r="U158" s="142"/>
      <x:c r="V158" s="142"/>
      <x:c r="W158" s="142"/>
    </x:row>
    <x:row r="159" ht="19" customHeight="1">
      <x:c r="A159" s="208"/>
      <x:c r="B159" s="208"/>
      <x:c r="C159" s="142"/>
      <x:c r="D159" s="142"/>
      <x:c r="E159" s="142"/>
      <x:c r="F159" s="142"/>
      <x:c r="G159" s="142"/>
      <x:c r="H159" s="142"/>
      <x:c r="I159" s="142"/>
      <x:c r="J159" s="142"/>
      <x:c r="K159" s="142"/>
      <x:c r="L159" s="142"/>
      <x:c r="M159" s="226"/>
      <x:c r="N159" s="226"/>
      <x:c r="O159" s="232" t="str">
        <x:f>IF(A159="","",M159-N159)</x:f>
      </x:c>
      <x:c r="P159" s="220"/>
      <x:c r="Q159" s="232" t="str">
        <x:f>IF(A159="","",O159*P159)</x:f>
      </x:c>
      <x:c r="R159" s="226"/>
      <x:c r="S159" s="232" t="str">
        <x:f>IF(A159="","",Q159-R159)</x:f>
      </x:c>
      <x:c r="T159" s="208"/>
      <x:c r="U159" s="142"/>
      <x:c r="V159" s="142"/>
      <x:c r="W159" s="142"/>
    </x:row>
    <x:row r="160" ht="19" customHeight="1">
      <x:c r="A160" s="208"/>
      <x:c r="B160" s="208"/>
      <x:c r="C160" s="142"/>
      <x:c r="D160" s="142"/>
      <x:c r="E160" s="142"/>
      <x:c r="F160" s="142"/>
      <x:c r="G160" s="142"/>
      <x:c r="H160" s="142"/>
      <x:c r="I160" s="142"/>
      <x:c r="J160" s="142"/>
      <x:c r="K160" s="142"/>
      <x:c r="L160" s="142"/>
      <x:c r="M160" s="226"/>
      <x:c r="N160" s="226"/>
      <x:c r="O160" s="232" t="str">
        <x:f>IF(A160="","",M160-N160)</x:f>
      </x:c>
      <x:c r="P160" s="220"/>
      <x:c r="Q160" s="232" t="str">
        <x:f>IF(A160="","",O160*P160)</x:f>
      </x:c>
      <x:c r="R160" s="226"/>
      <x:c r="S160" s="232" t="str">
        <x:f>IF(A160="","",Q160-R160)</x:f>
      </x:c>
      <x:c r="T160" s="208"/>
      <x:c r="U160" s="142"/>
      <x:c r="V160" s="142"/>
      <x:c r="W160" s="142"/>
    </x:row>
    <x:row r="161" ht="19" customHeight="1">
      <x:c r="A161" s="208"/>
      <x:c r="B161" s="208"/>
      <x:c r="C161" s="142"/>
      <x:c r="D161" s="142"/>
      <x:c r="E161" s="142"/>
      <x:c r="F161" s="142"/>
      <x:c r="G161" s="142"/>
      <x:c r="H161" s="142"/>
      <x:c r="I161" s="142"/>
      <x:c r="J161" s="142"/>
      <x:c r="K161" s="142"/>
      <x:c r="L161" s="142"/>
      <x:c r="M161" s="226"/>
      <x:c r="N161" s="226"/>
      <x:c r="O161" s="232" t="str">
        <x:f>IF(A161="","",M161-N161)</x:f>
      </x:c>
      <x:c r="P161" s="220"/>
      <x:c r="Q161" s="232" t="str">
        <x:f>IF(A161="","",O161*P161)</x:f>
      </x:c>
      <x:c r="R161" s="226"/>
      <x:c r="S161" s="232" t="str">
        <x:f>IF(A161="","",Q161-R161)</x:f>
      </x:c>
      <x:c r="T161" s="208"/>
      <x:c r="U161" s="142"/>
      <x:c r="V161" s="142"/>
      <x:c r="W161" s="142"/>
    </x:row>
    <x:row r="162" ht="19" customHeight="1">
      <x:c r="A162" s="208"/>
      <x:c r="B162" s="208"/>
      <x:c r="C162" s="142"/>
      <x:c r="D162" s="142"/>
      <x:c r="E162" s="142"/>
      <x:c r="F162" s="142"/>
      <x:c r="G162" s="142"/>
      <x:c r="H162" s="142"/>
      <x:c r="I162" s="142"/>
      <x:c r="J162" s="142"/>
      <x:c r="K162" s="142"/>
      <x:c r="L162" s="142"/>
      <x:c r="M162" s="226"/>
      <x:c r="N162" s="226"/>
      <x:c r="O162" s="232" t="str">
        <x:f>IF(A162="","",M162-N162)</x:f>
      </x:c>
      <x:c r="P162" s="220"/>
      <x:c r="Q162" s="232" t="str">
        <x:f>IF(A162="","",O162*P162)</x:f>
      </x:c>
      <x:c r="R162" s="226"/>
      <x:c r="S162" s="232" t="str">
        <x:f>IF(A162="","",Q162-R162)</x:f>
      </x:c>
      <x:c r="T162" s="208"/>
      <x:c r="U162" s="142"/>
      <x:c r="V162" s="142"/>
      <x:c r="W162" s="142"/>
    </x:row>
    <x:row r="163" ht="19" customHeight="1">
      <x:c r="A163" s="208"/>
      <x:c r="B163" s="208"/>
      <x:c r="C163" s="142"/>
      <x:c r="D163" s="142"/>
      <x:c r="E163" s="142"/>
      <x:c r="F163" s="142"/>
      <x:c r="G163" s="142"/>
      <x:c r="H163" s="142"/>
      <x:c r="I163" s="142"/>
      <x:c r="J163" s="142"/>
      <x:c r="K163" s="142"/>
      <x:c r="L163" s="142"/>
      <x:c r="M163" s="226"/>
      <x:c r="N163" s="226"/>
      <x:c r="O163" s="232" t="str">
        <x:f>IF(A163="","",M163-N163)</x:f>
      </x:c>
      <x:c r="P163" s="220"/>
      <x:c r="Q163" s="232" t="str">
        <x:f>IF(A163="","",O163*P163)</x:f>
      </x:c>
      <x:c r="R163" s="226"/>
      <x:c r="S163" s="232" t="str">
        <x:f>IF(A163="","",Q163-R163)</x:f>
      </x:c>
      <x:c r="T163" s="208"/>
      <x:c r="U163" s="142"/>
      <x:c r="V163" s="142"/>
      <x:c r="W163" s="142"/>
    </x:row>
    <x:row r="164" ht="19" customHeight="1">
      <x:c r="A164" s="208"/>
      <x:c r="B164" s="208"/>
      <x:c r="C164" s="142"/>
      <x:c r="D164" s="142"/>
      <x:c r="E164" s="142"/>
      <x:c r="F164" s="142"/>
      <x:c r="G164" s="142"/>
      <x:c r="H164" s="142"/>
      <x:c r="I164" s="142"/>
      <x:c r="J164" s="142"/>
      <x:c r="K164" s="142"/>
      <x:c r="L164" s="142"/>
      <x:c r="M164" s="226"/>
      <x:c r="N164" s="226"/>
      <x:c r="O164" s="232" t="str">
        <x:f>IF(A164="","",M164-N164)</x:f>
      </x:c>
      <x:c r="P164" s="220"/>
      <x:c r="Q164" s="232" t="str">
        <x:f>IF(A164="","",O164*P164)</x:f>
      </x:c>
      <x:c r="R164" s="226"/>
      <x:c r="S164" s="232" t="str">
        <x:f>IF(A164="","",Q164-R164)</x:f>
      </x:c>
      <x:c r="T164" s="208"/>
      <x:c r="U164" s="142"/>
      <x:c r="V164" s="142"/>
      <x:c r="W164" s="142"/>
    </x:row>
    <x:row r="165" ht="19" customHeight="1">
      <x:c r="A165" s="208"/>
      <x:c r="B165" s="208"/>
      <x:c r="C165" s="142"/>
      <x:c r="D165" s="142"/>
      <x:c r="E165" s="142"/>
      <x:c r="F165" s="142"/>
      <x:c r="G165" s="142"/>
      <x:c r="H165" s="142"/>
      <x:c r="I165" s="142"/>
      <x:c r="J165" s="142"/>
      <x:c r="K165" s="142"/>
      <x:c r="L165" s="142"/>
      <x:c r="M165" s="226"/>
      <x:c r="N165" s="226"/>
      <x:c r="O165" s="232" t="str">
        <x:f>IF(A165="","",M165-N165)</x:f>
      </x:c>
      <x:c r="P165" s="220"/>
      <x:c r="Q165" s="232" t="str">
        <x:f>IF(A165="","",O165*P165)</x:f>
      </x:c>
      <x:c r="R165" s="226"/>
      <x:c r="S165" s="232" t="str">
        <x:f>IF(A165="","",Q165-R165)</x:f>
      </x:c>
      <x:c r="T165" s="208"/>
      <x:c r="U165" s="142"/>
      <x:c r="V165" s="142"/>
      <x:c r="W165" s="142"/>
    </x:row>
    <x:row r="166" ht="19" customHeight="1">
      <x:c r="A166" s="208"/>
      <x:c r="B166" s="208"/>
      <x:c r="C166" s="142"/>
      <x:c r="D166" s="142"/>
      <x:c r="E166" s="142"/>
      <x:c r="F166" s="142"/>
      <x:c r="G166" s="142"/>
      <x:c r="H166" s="142"/>
      <x:c r="I166" s="142"/>
      <x:c r="J166" s="142"/>
      <x:c r="K166" s="142"/>
      <x:c r="L166" s="142"/>
      <x:c r="M166" s="226"/>
      <x:c r="N166" s="226"/>
      <x:c r="O166" s="232" t="str">
        <x:f>IF(A166="","",M166-N166)</x:f>
      </x:c>
      <x:c r="P166" s="220"/>
      <x:c r="Q166" s="232" t="str">
        <x:f>IF(A166="","",O166*P166)</x:f>
      </x:c>
      <x:c r="R166" s="226"/>
      <x:c r="S166" s="232" t="str">
        <x:f>IF(A166="","",Q166-R166)</x:f>
      </x:c>
      <x:c r="T166" s="208"/>
      <x:c r="U166" s="142"/>
      <x:c r="V166" s="142"/>
      <x:c r="W166" s="142"/>
    </x:row>
    <x:row r="167" ht="19" customHeight="1">
      <x:c r="A167" s="208"/>
      <x:c r="B167" s="208"/>
      <x:c r="C167" s="142"/>
      <x:c r="D167" s="142"/>
      <x:c r="E167" s="142"/>
      <x:c r="F167" s="142"/>
      <x:c r="G167" s="142"/>
      <x:c r="H167" s="142"/>
      <x:c r="I167" s="142"/>
      <x:c r="J167" s="142"/>
      <x:c r="K167" s="142"/>
      <x:c r="L167" s="142"/>
      <x:c r="M167" s="226"/>
      <x:c r="N167" s="226"/>
      <x:c r="O167" s="232" t="str">
        <x:f>IF(A167="","",M167-N167)</x:f>
      </x:c>
      <x:c r="P167" s="220"/>
      <x:c r="Q167" s="232" t="str">
        <x:f>IF(A167="","",O167*P167)</x:f>
      </x:c>
      <x:c r="R167" s="226"/>
      <x:c r="S167" s="232" t="str">
        <x:f>IF(A167="","",Q167-R167)</x:f>
      </x:c>
      <x:c r="T167" s="208"/>
      <x:c r="U167" s="142"/>
      <x:c r="V167" s="142"/>
      <x:c r="W167" s="142"/>
    </x:row>
    <x:row r="168" ht="19" customHeight="1">
      <x:c r="A168" s="208"/>
      <x:c r="B168" s="208"/>
      <x:c r="C168" s="142"/>
      <x:c r="D168" s="142"/>
      <x:c r="E168" s="142"/>
      <x:c r="F168" s="142"/>
      <x:c r="G168" s="142"/>
      <x:c r="H168" s="142"/>
      <x:c r="I168" s="142"/>
      <x:c r="J168" s="142"/>
      <x:c r="K168" s="142"/>
      <x:c r="L168" s="142"/>
      <x:c r="M168" s="226"/>
      <x:c r="N168" s="226"/>
      <x:c r="O168" s="232" t="str">
        <x:f>IF(A168="","",M168-N168)</x:f>
      </x:c>
      <x:c r="P168" s="220"/>
      <x:c r="Q168" s="232" t="str">
        <x:f>IF(A168="","",O168*P168)</x:f>
      </x:c>
      <x:c r="R168" s="226"/>
      <x:c r="S168" s="232" t="str">
        <x:f>IF(A168="","",Q168-R168)</x:f>
      </x:c>
      <x:c r="T168" s="208"/>
      <x:c r="U168" s="142"/>
      <x:c r="V168" s="142"/>
      <x:c r="W168" s="142"/>
    </x:row>
    <x:row r="169" ht="19" customHeight="1">
      <x:c r="A169" s="208"/>
      <x:c r="B169" s="208"/>
      <x:c r="C169" s="142"/>
      <x:c r="D169" s="142"/>
      <x:c r="E169" s="142"/>
      <x:c r="F169" s="142"/>
      <x:c r="G169" s="142"/>
      <x:c r="H169" s="142"/>
      <x:c r="I169" s="142"/>
      <x:c r="J169" s="142"/>
      <x:c r="K169" s="142"/>
      <x:c r="L169" s="142"/>
      <x:c r="M169" s="226"/>
      <x:c r="N169" s="226"/>
      <x:c r="O169" s="232" t="str">
        <x:f>IF(A169="","",M169-N169)</x:f>
      </x:c>
      <x:c r="P169" s="220"/>
      <x:c r="Q169" s="232" t="str">
        <x:f>IF(A169="","",O169*P169)</x:f>
      </x:c>
      <x:c r="R169" s="226"/>
      <x:c r="S169" s="232" t="str">
        <x:f>IF(A169="","",Q169-R169)</x:f>
      </x:c>
      <x:c r="T169" s="208"/>
      <x:c r="U169" s="142"/>
      <x:c r="V169" s="142"/>
      <x:c r="W169" s="142"/>
    </x:row>
    <x:row r="170" ht="19" customHeight="1">
      <x:c r="A170" s="208"/>
      <x:c r="B170" s="208"/>
      <x:c r="C170" s="142"/>
      <x:c r="D170" s="142"/>
      <x:c r="E170" s="142"/>
      <x:c r="F170" s="142"/>
      <x:c r="G170" s="142"/>
      <x:c r="H170" s="142"/>
      <x:c r="I170" s="142"/>
      <x:c r="J170" s="142"/>
      <x:c r="K170" s="142"/>
      <x:c r="L170" s="142"/>
      <x:c r="M170" s="226"/>
      <x:c r="N170" s="226"/>
      <x:c r="O170" s="232" t="str">
        <x:f>IF(A170="","",M170-N170)</x:f>
      </x:c>
      <x:c r="P170" s="220"/>
      <x:c r="Q170" s="232" t="str">
        <x:f>IF(A170="","",O170*P170)</x:f>
      </x:c>
      <x:c r="R170" s="226"/>
      <x:c r="S170" s="232" t="str">
        <x:f>IF(A170="","",Q170-R170)</x:f>
      </x:c>
      <x:c r="T170" s="208"/>
      <x:c r="U170" s="142"/>
      <x:c r="V170" s="142"/>
      <x:c r="W170" s="142"/>
    </x:row>
    <x:row r="171" ht="19" customHeight="1">
      <x:c r="A171" s="208"/>
      <x:c r="B171" s="208"/>
      <x:c r="C171" s="142"/>
      <x:c r="D171" s="142"/>
      <x:c r="E171" s="142"/>
      <x:c r="F171" s="142"/>
      <x:c r="G171" s="142"/>
      <x:c r="H171" s="142"/>
      <x:c r="I171" s="142"/>
      <x:c r="J171" s="142"/>
      <x:c r="K171" s="142"/>
      <x:c r="L171" s="142"/>
      <x:c r="M171" s="226"/>
      <x:c r="N171" s="226"/>
      <x:c r="O171" s="232" t="str">
        <x:f>IF(A171="","",M171-N171)</x:f>
      </x:c>
      <x:c r="P171" s="220"/>
      <x:c r="Q171" s="232" t="str">
        <x:f>IF(A171="","",O171*P171)</x:f>
      </x:c>
      <x:c r="R171" s="226"/>
      <x:c r="S171" s="232" t="str">
        <x:f>IF(A171="","",Q171-R171)</x:f>
      </x:c>
      <x:c r="T171" s="208"/>
      <x:c r="U171" s="142"/>
      <x:c r="V171" s="142"/>
      <x:c r="W171" s="142"/>
    </x:row>
    <x:row r="172" ht="19" customHeight="1">
      <x:c r="A172" s="208"/>
      <x:c r="B172" s="208"/>
      <x:c r="C172" s="142"/>
      <x:c r="D172" s="142"/>
      <x:c r="E172" s="142"/>
      <x:c r="F172" s="142"/>
      <x:c r="G172" s="142"/>
      <x:c r="H172" s="142"/>
      <x:c r="I172" s="142"/>
      <x:c r="J172" s="142"/>
      <x:c r="K172" s="142"/>
      <x:c r="L172" s="142"/>
      <x:c r="M172" s="226"/>
      <x:c r="N172" s="226"/>
      <x:c r="O172" s="232" t="str">
        <x:f>IF(A172="","",M172-N172)</x:f>
      </x:c>
      <x:c r="P172" s="220"/>
      <x:c r="Q172" s="232" t="str">
        <x:f>IF(A172="","",O172*P172)</x:f>
      </x:c>
      <x:c r="R172" s="226"/>
      <x:c r="S172" s="232" t="str">
        <x:f>IF(A172="","",Q172-R172)</x:f>
      </x:c>
      <x:c r="T172" s="208"/>
      <x:c r="U172" s="142"/>
      <x:c r="V172" s="142"/>
      <x:c r="W172" s="142"/>
    </x:row>
    <x:row r="173" ht="19" customHeight="1">
      <x:c r="A173" s="208"/>
      <x:c r="B173" s="208"/>
      <x:c r="C173" s="142"/>
      <x:c r="D173" s="142"/>
      <x:c r="E173" s="142"/>
      <x:c r="F173" s="142"/>
      <x:c r="G173" s="142"/>
      <x:c r="H173" s="142"/>
      <x:c r="I173" s="142"/>
      <x:c r="J173" s="142"/>
      <x:c r="K173" s="142"/>
      <x:c r="L173" s="142"/>
      <x:c r="M173" s="226"/>
      <x:c r="N173" s="226"/>
      <x:c r="O173" s="232" t="str">
        <x:f>IF(A173="","",M173-N173)</x:f>
      </x:c>
      <x:c r="P173" s="220"/>
      <x:c r="Q173" s="232" t="str">
        <x:f>IF(A173="","",O173*P173)</x:f>
      </x:c>
      <x:c r="R173" s="226"/>
      <x:c r="S173" s="232" t="str">
        <x:f>IF(A173="","",Q173-R173)</x:f>
      </x:c>
      <x:c r="T173" s="208"/>
      <x:c r="U173" s="142"/>
      <x:c r="V173" s="142"/>
      <x:c r="W173" s="142"/>
    </x:row>
    <x:row r="174" ht="19" customHeight="1">
      <x:c r="A174" s="208"/>
      <x:c r="B174" s="208"/>
      <x:c r="C174" s="142"/>
      <x:c r="D174" s="142"/>
      <x:c r="E174" s="142"/>
      <x:c r="F174" s="142"/>
      <x:c r="G174" s="142"/>
      <x:c r="H174" s="142"/>
      <x:c r="I174" s="142"/>
      <x:c r="J174" s="142"/>
      <x:c r="K174" s="142"/>
      <x:c r="L174" s="142"/>
      <x:c r="M174" s="226"/>
      <x:c r="N174" s="226"/>
      <x:c r="O174" s="232" t="str">
        <x:f>IF(A174="","",M174-N174)</x:f>
      </x:c>
      <x:c r="P174" s="220"/>
      <x:c r="Q174" s="232" t="str">
        <x:f>IF(A174="","",O174*P174)</x:f>
      </x:c>
      <x:c r="R174" s="226"/>
      <x:c r="S174" s="232" t="str">
        <x:f>IF(A174="","",Q174-R174)</x:f>
      </x:c>
      <x:c r="T174" s="208"/>
      <x:c r="U174" s="142"/>
      <x:c r="V174" s="142"/>
      <x:c r="W174" s="142"/>
    </x:row>
    <x:row r="175" ht="19" customHeight="1">
      <x:c r="A175" s="208"/>
      <x:c r="B175" s="208"/>
      <x:c r="C175" s="142"/>
      <x:c r="D175" s="142"/>
      <x:c r="E175" s="142"/>
      <x:c r="F175" s="142"/>
      <x:c r="G175" s="142"/>
      <x:c r="H175" s="142"/>
      <x:c r="I175" s="142"/>
      <x:c r="J175" s="142"/>
      <x:c r="K175" s="142"/>
      <x:c r="L175" s="142"/>
      <x:c r="M175" s="226"/>
      <x:c r="N175" s="226"/>
      <x:c r="O175" s="232" t="str">
        <x:f>IF(A175="","",M175-N175)</x:f>
      </x:c>
      <x:c r="P175" s="220"/>
      <x:c r="Q175" s="232" t="str">
        <x:f>IF(A175="","",O175*P175)</x:f>
      </x:c>
      <x:c r="R175" s="226"/>
      <x:c r="S175" s="232" t="str">
        <x:f>IF(A175="","",Q175-R175)</x:f>
      </x:c>
      <x:c r="T175" s="208"/>
      <x:c r="U175" s="142"/>
      <x:c r="V175" s="142"/>
      <x:c r="W175" s="142"/>
    </x:row>
    <x:row r="176" ht="19" customHeight="1">
      <x:c r="A176" s="208"/>
      <x:c r="B176" s="208"/>
      <x:c r="C176" s="142"/>
      <x:c r="D176" s="142"/>
      <x:c r="E176" s="142"/>
      <x:c r="F176" s="142"/>
      <x:c r="G176" s="142"/>
      <x:c r="H176" s="142"/>
      <x:c r="I176" s="142"/>
      <x:c r="J176" s="142"/>
      <x:c r="K176" s="142"/>
      <x:c r="L176" s="142"/>
      <x:c r="M176" s="226"/>
      <x:c r="N176" s="226"/>
      <x:c r="O176" s="232" t="str">
        <x:f>IF(A176="","",M176-N176)</x:f>
      </x:c>
      <x:c r="P176" s="220"/>
      <x:c r="Q176" s="232" t="str">
        <x:f>IF(A176="","",O176*P176)</x:f>
      </x:c>
      <x:c r="R176" s="226"/>
      <x:c r="S176" s="232" t="str">
        <x:f>IF(A176="","",Q176-R176)</x:f>
      </x:c>
      <x:c r="T176" s="208"/>
      <x:c r="U176" s="142"/>
      <x:c r="V176" s="142"/>
      <x:c r="W176" s="142"/>
    </x:row>
    <x:row r="177" ht="19" customHeight="1">
      <x:c r="A177" s="208"/>
      <x:c r="B177" s="208"/>
      <x:c r="C177" s="142"/>
      <x:c r="D177" s="142"/>
      <x:c r="E177" s="142"/>
      <x:c r="F177" s="142"/>
      <x:c r="G177" s="142"/>
      <x:c r="H177" s="142"/>
      <x:c r="I177" s="142"/>
      <x:c r="J177" s="142"/>
      <x:c r="K177" s="142"/>
      <x:c r="L177" s="142"/>
      <x:c r="M177" s="226"/>
      <x:c r="N177" s="226"/>
      <x:c r="O177" s="232" t="str">
        <x:f>IF(A177="","",M177-N177)</x:f>
      </x:c>
      <x:c r="P177" s="220"/>
      <x:c r="Q177" s="232" t="str">
        <x:f>IF(A177="","",O177*P177)</x:f>
      </x:c>
      <x:c r="R177" s="226"/>
      <x:c r="S177" s="232" t="str">
        <x:f>IF(A177="","",Q177-R177)</x:f>
      </x:c>
      <x:c r="T177" s="208"/>
      <x:c r="U177" s="142"/>
      <x:c r="V177" s="142"/>
      <x:c r="W177" s="142"/>
    </x:row>
    <x:row r="178" ht="19" customHeight="1">
      <x:c r="A178" s="208"/>
      <x:c r="B178" s="208"/>
      <x:c r="C178" s="142"/>
      <x:c r="D178" s="142"/>
      <x:c r="E178" s="142"/>
      <x:c r="F178" s="142"/>
      <x:c r="G178" s="142"/>
      <x:c r="H178" s="142"/>
      <x:c r="I178" s="142"/>
      <x:c r="J178" s="142"/>
      <x:c r="K178" s="142"/>
      <x:c r="L178" s="142"/>
      <x:c r="M178" s="226"/>
      <x:c r="N178" s="226"/>
      <x:c r="O178" s="232" t="str">
        <x:f>IF(A178="","",M178-N178)</x:f>
      </x:c>
      <x:c r="P178" s="220"/>
      <x:c r="Q178" s="232" t="str">
        <x:f>IF(A178="","",O178*P178)</x:f>
      </x:c>
      <x:c r="R178" s="226"/>
      <x:c r="S178" s="232" t="str">
        <x:f>IF(A178="","",Q178-R178)</x:f>
      </x:c>
      <x:c r="T178" s="208"/>
      <x:c r="U178" s="142"/>
      <x:c r="V178" s="142"/>
      <x:c r="W178" s="142"/>
    </x:row>
    <x:row r="179" ht="19" customHeight="1">
      <x:c r="A179" s="208"/>
      <x:c r="B179" s="208"/>
      <x:c r="C179" s="142"/>
      <x:c r="D179" s="142"/>
      <x:c r="E179" s="142"/>
      <x:c r="F179" s="142"/>
      <x:c r="G179" s="142"/>
      <x:c r="H179" s="142"/>
      <x:c r="I179" s="142"/>
      <x:c r="J179" s="142"/>
      <x:c r="K179" s="142"/>
      <x:c r="L179" s="142"/>
      <x:c r="M179" s="226"/>
      <x:c r="N179" s="226"/>
      <x:c r="O179" s="232" t="str">
        <x:f>IF(A179="","",M179-N179)</x:f>
      </x:c>
      <x:c r="P179" s="220"/>
      <x:c r="Q179" s="232" t="str">
        <x:f>IF(A179="","",O179*P179)</x:f>
      </x:c>
      <x:c r="R179" s="226"/>
      <x:c r="S179" s="232" t="str">
        <x:f>IF(A179="","",Q179-R179)</x:f>
      </x:c>
      <x:c r="T179" s="208"/>
      <x:c r="U179" s="142"/>
      <x:c r="V179" s="142"/>
      <x:c r="W179" s="142"/>
    </x:row>
    <x:row r="180" ht="19" customHeight="1">
      <x:c r="A180" s="208"/>
      <x:c r="B180" s="208"/>
      <x:c r="C180" s="142"/>
      <x:c r="D180" s="142"/>
      <x:c r="E180" s="142"/>
      <x:c r="F180" s="142"/>
      <x:c r="G180" s="142"/>
      <x:c r="H180" s="142"/>
      <x:c r="I180" s="142"/>
      <x:c r="J180" s="142"/>
      <x:c r="K180" s="142"/>
      <x:c r="L180" s="142"/>
      <x:c r="M180" s="226"/>
      <x:c r="N180" s="226"/>
      <x:c r="O180" s="232" t="str">
        <x:f>IF(A180="","",M180-N180)</x:f>
      </x:c>
      <x:c r="P180" s="220"/>
      <x:c r="Q180" s="232" t="str">
        <x:f>IF(A180="","",O180*P180)</x:f>
      </x:c>
      <x:c r="R180" s="226"/>
      <x:c r="S180" s="232" t="str">
        <x:f>IF(A180="","",Q180-R180)</x:f>
      </x:c>
      <x:c r="T180" s="208"/>
      <x:c r="U180" s="142"/>
      <x:c r="V180" s="142"/>
      <x:c r="W180" s="142"/>
    </x:row>
    <x:row r="181" ht="19" customHeight="1">
      <x:c r="A181" s="208"/>
      <x:c r="B181" s="208"/>
      <x:c r="C181" s="142"/>
      <x:c r="D181" s="142"/>
      <x:c r="E181" s="142"/>
      <x:c r="F181" s="142"/>
      <x:c r="G181" s="142"/>
      <x:c r="H181" s="142"/>
      <x:c r="I181" s="142"/>
      <x:c r="J181" s="142"/>
      <x:c r="K181" s="142"/>
      <x:c r="L181" s="142"/>
      <x:c r="M181" s="226"/>
      <x:c r="N181" s="226"/>
      <x:c r="O181" s="232" t="str">
        <x:f>IF(A181="","",M181-N181)</x:f>
      </x:c>
      <x:c r="P181" s="220"/>
      <x:c r="Q181" s="232" t="str">
        <x:f>IF(A181="","",O181*P181)</x:f>
      </x:c>
      <x:c r="R181" s="226"/>
      <x:c r="S181" s="232" t="str">
        <x:f>IF(A181="","",Q181-R181)</x:f>
      </x:c>
      <x:c r="T181" s="208"/>
      <x:c r="U181" s="142"/>
      <x:c r="V181" s="142"/>
      <x:c r="W181" s="142"/>
    </x:row>
    <x:row r="182" ht="19" customHeight="1">
      <x:c r="A182" s="208"/>
      <x:c r="B182" s="208"/>
      <x:c r="C182" s="142"/>
      <x:c r="D182" s="142"/>
      <x:c r="E182" s="142"/>
      <x:c r="F182" s="142"/>
      <x:c r="G182" s="142"/>
      <x:c r="H182" s="142"/>
      <x:c r="I182" s="142"/>
      <x:c r="J182" s="142"/>
      <x:c r="K182" s="142"/>
      <x:c r="L182" s="142"/>
      <x:c r="M182" s="226"/>
      <x:c r="N182" s="226"/>
      <x:c r="O182" s="232" t="str">
        <x:f>IF(A182="","",M182-N182)</x:f>
      </x:c>
      <x:c r="P182" s="220"/>
      <x:c r="Q182" s="232" t="str">
        <x:f>IF(A182="","",O182*P182)</x:f>
      </x:c>
      <x:c r="R182" s="226"/>
      <x:c r="S182" s="232" t="str">
        <x:f>IF(A182="","",Q182-R182)</x:f>
      </x:c>
      <x:c r="T182" s="208"/>
      <x:c r="U182" s="142"/>
      <x:c r="V182" s="142"/>
      <x:c r="W182" s="142"/>
    </x:row>
    <x:row r="183" ht="19" customHeight="1">
      <x:c r="A183" s="208"/>
      <x:c r="B183" s="208"/>
      <x:c r="C183" s="142"/>
      <x:c r="D183" s="142"/>
      <x:c r="E183" s="142"/>
      <x:c r="F183" s="142"/>
      <x:c r="G183" s="142"/>
      <x:c r="H183" s="142"/>
      <x:c r="I183" s="142"/>
      <x:c r="J183" s="142"/>
      <x:c r="K183" s="142"/>
      <x:c r="L183" s="142"/>
      <x:c r="M183" s="226"/>
      <x:c r="N183" s="226"/>
      <x:c r="O183" s="232" t="str">
        <x:f>IF(A183="","",M183-N183)</x:f>
      </x:c>
      <x:c r="P183" s="220"/>
      <x:c r="Q183" s="232" t="str">
        <x:f>IF(A183="","",O183*P183)</x:f>
      </x:c>
      <x:c r="R183" s="226"/>
      <x:c r="S183" s="232" t="str">
        <x:f>IF(A183="","",Q183-R183)</x:f>
      </x:c>
      <x:c r="T183" s="208"/>
      <x:c r="U183" s="142"/>
      <x:c r="V183" s="142"/>
      <x:c r="W183" s="142"/>
    </x:row>
    <x:row r="184" ht="19" customHeight="1">
      <x:c r="A184" s="208"/>
      <x:c r="B184" s="208"/>
      <x:c r="C184" s="142"/>
      <x:c r="D184" s="142"/>
      <x:c r="E184" s="142"/>
      <x:c r="F184" s="142"/>
      <x:c r="G184" s="142"/>
      <x:c r="H184" s="142"/>
      <x:c r="I184" s="142"/>
      <x:c r="J184" s="142"/>
      <x:c r="K184" s="142"/>
      <x:c r="L184" s="142"/>
      <x:c r="M184" s="226"/>
      <x:c r="N184" s="226"/>
      <x:c r="O184" s="232" t="str">
        <x:f>IF(A184="","",M184-N184)</x:f>
      </x:c>
      <x:c r="P184" s="220"/>
      <x:c r="Q184" s="232" t="str">
        <x:f>IF(A184="","",O184*P184)</x:f>
      </x:c>
      <x:c r="R184" s="226"/>
      <x:c r="S184" s="232" t="str">
        <x:f>IF(A184="","",Q184-R184)</x:f>
      </x:c>
      <x:c r="T184" s="208"/>
      <x:c r="U184" s="142"/>
      <x:c r="V184" s="142"/>
      <x:c r="W184" s="142"/>
    </x:row>
    <x:row r="185" ht="19" customHeight="1">
      <x:c r="A185" s="208"/>
      <x:c r="B185" s="208"/>
      <x:c r="C185" s="142"/>
      <x:c r="D185" s="142"/>
      <x:c r="E185" s="142"/>
      <x:c r="F185" s="142"/>
      <x:c r="G185" s="142"/>
      <x:c r="H185" s="142"/>
      <x:c r="I185" s="142"/>
      <x:c r="J185" s="142"/>
      <x:c r="K185" s="142"/>
      <x:c r="L185" s="142"/>
      <x:c r="M185" s="226"/>
      <x:c r="N185" s="226"/>
      <x:c r="O185" s="232" t="str">
        <x:f>IF(A185="","",M185-N185)</x:f>
      </x:c>
      <x:c r="P185" s="220"/>
      <x:c r="Q185" s="232" t="str">
        <x:f>IF(A185="","",O185*P185)</x:f>
      </x:c>
      <x:c r="R185" s="226"/>
      <x:c r="S185" s="232" t="str">
        <x:f>IF(A185="","",Q185-R185)</x:f>
      </x:c>
      <x:c r="T185" s="208"/>
      <x:c r="U185" s="142"/>
      <x:c r="V185" s="142"/>
      <x:c r="W185" s="142"/>
    </x:row>
    <x:row r="186" ht="19" customHeight="1">
      <x:c r="A186" s="208"/>
      <x:c r="B186" s="208"/>
      <x:c r="C186" s="142"/>
      <x:c r="D186" s="142"/>
      <x:c r="E186" s="142"/>
      <x:c r="F186" s="142"/>
      <x:c r="G186" s="142"/>
      <x:c r="H186" s="142"/>
      <x:c r="I186" s="142"/>
      <x:c r="J186" s="142"/>
      <x:c r="K186" s="142"/>
      <x:c r="L186" s="142"/>
      <x:c r="M186" s="226"/>
      <x:c r="N186" s="226"/>
      <x:c r="O186" s="232" t="str">
        <x:f>IF(A186="","",M186-N186)</x:f>
      </x:c>
      <x:c r="P186" s="220"/>
      <x:c r="Q186" s="232" t="str">
        <x:f>IF(A186="","",O186*P186)</x:f>
      </x:c>
      <x:c r="R186" s="226"/>
      <x:c r="S186" s="232" t="str">
        <x:f>IF(A186="","",Q186-R186)</x:f>
      </x:c>
      <x:c r="T186" s="208"/>
      <x:c r="U186" s="142"/>
      <x:c r="V186" s="142"/>
      <x:c r="W186" s="142"/>
    </x:row>
    <x:row r="187" ht="19" customHeight="1">
      <x:c r="A187" s="208"/>
      <x:c r="B187" s="208"/>
      <x:c r="C187" s="142"/>
      <x:c r="D187" s="142"/>
      <x:c r="E187" s="142"/>
      <x:c r="F187" s="142"/>
      <x:c r="G187" s="142"/>
      <x:c r="H187" s="142"/>
      <x:c r="I187" s="142"/>
      <x:c r="J187" s="142"/>
      <x:c r="K187" s="142"/>
      <x:c r="L187" s="142"/>
      <x:c r="M187" s="226"/>
      <x:c r="N187" s="226"/>
      <x:c r="O187" s="232" t="str">
        <x:f>IF(A187="","",M187-N187)</x:f>
      </x:c>
      <x:c r="P187" s="220"/>
      <x:c r="Q187" s="232" t="str">
        <x:f>IF(A187="","",O187*P187)</x:f>
      </x:c>
      <x:c r="R187" s="226"/>
      <x:c r="S187" s="232" t="str">
        <x:f>IF(A187="","",Q187-R187)</x:f>
      </x:c>
      <x:c r="T187" s="208"/>
      <x:c r="U187" s="142"/>
      <x:c r="V187" s="142"/>
      <x:c r="W187" s="142"/>
    </x:row>
    <x:row r="188" ht="19" customHeight="1">
      <x:c r="A188" s="208"/>
      <x:c r="B188" s="208"/>
      <x:c r="C188" s="142"/>
      <x:c r="D188" s="142"/>
      <x:c r="E188" s="142"/>
      <x:c r="F188" s="142"/>
      <x:c r="G188" s="142"/>
      <x:c r="H188" s="142"/>
      <x:c r="I188" s="142"/>
      <x:c r="J188" s="142"/>
      <x:c r="K188" s="142"/>
      <x:c r="L188" s="142"/>
      <x:c r="M188" s="226"/>
      <x:c r="N188" s="226"/>
      <x:c r="O188" s="232" t="str">
        <x:f>IF(A188="","",M188-N188)</x:f>
      </x:c>
      <x:c r="P188" s="220"/>
      <x:c r="Q188" s="232" t="str">
        <x:f>IF(A188="","",O188*P188)</x:f>
      </x:c>
      <x:c r="R188" s="226"/>
      <x:c r="S188" s="232" t="str">
        <x:f>IF(A188="","",Q188-R188)</x:f>
      </x:c>
      <x:c r="T188" s="208"/>
      <x:c r="U188" s="142"/>
      <x:c r="V188" s="142"/>
      <x:c r="W188" s="142"/>
    </x:row>
    <x:row r="189" ht="19" customHeight="1">
      <x:c r="A189" s="208"/>
      <x:c r="B189" s="208"/>
      <x:c r="C189" s="142"/>
      <x:c r="D189" s="142"/>
      <x:c r="E189" s="142"/>
      <x:c r="F189" s="142"/>
      <x:c r="G189" s="142"/>
      <x:c r="H189" s="142"/>
      <x:c r="I189" s="142"/>
      <x:c r="J189" s="142"/>
      <x:c r="K189" s="142"/>
      <x:c r="L189" s="142"/>
      <x:c r="M189" s="226"/>
      <x:c r="N189" s="226"/>
      <x:c r="O189" s="232" t="str">
        <x:f>IF(A189="","",M189-N189)</x:f>
      </x:c>
      <x:c r="P189" s="220"/>
      <x:c r="Q189" s="232" t="str">
        <x:f>IF(A189="","",O189*P189)</x:f>
      </x:c>
      <x:c r="R189" s="226"/>
      <x:c r="S189" s="232" t="str">
        <x:f>IF(A189="","",Q189-R189)</x:f>
      </x:c>
      <x:c r="T189" s="208"/>
      <x:c r="U189" s="142"/>
      <x:c r="V189" s="142"/>
      <x:c r="W189" s="142"/>
    </x:row>
    <x:row r="190" ht="19" customHeight="1">
      <x:c r="A190" s="208"/>
      <x:c r="B190" s="208"/>
      <x:c r="C190" s="142"/>
      <x:c r="D190" s="142"/>
      <x:c r="E190" s="142"/>
      <x:c r="F190" s="142"/>
      <x:c r="G190" s="142"/>
      <x:c r="H190" s="142"/>
      <x:c r="I190" s="142"/>
      <x:c r="J190" s="142"/>
      <x:c r="K190" s="142"/>
      <x:c r="L190" s="142"/>
      <x:c r="M190" s="226"/>
      <x:c r="N190" s="226"/>
      <x:c r="O190" s="232" t="str">
        <x:f>IF(A190="","",M190-N190)</x:f>
      </x:c>
      <x:c r="P190" s="220"/>
      <x:c r="Q190" s="232" t="str">
        <x:f>IF(A190="","",O190*P190)</x:f>
      </x:c>
      <x:c r="R190" s="226"/>
      <x:c r="S190" s="232" t="str">
        <x:f>IF(A190="","",Q190-R190)</x:f>
      </x:c>
      <x:c r="T190" s="208"/>
      <x:c r="U190" s="142"/>
      <x:c r="V190" s="142"/>
      <x:c r="W190" s="142"/>
    </x:row>
    <x:row r="191" ht="19" customHeight="1">
      <x:c r="A191" s="208"/>
      <x:c r="B191" s="208"/>
      <x:c r="C191" s="142"/>
      <x:c r="D191" s="142"/>
      <x:c r="E191" s="142"/>
      <x:c r="F191" s="142"/>
      <x:c r="G191" s="142"/>
      <x:c r="H191" s="142"/>
      <x:c r="I191" s="142"/>
      <x:c r="J191" s="142"/>
      <x:c r="K191" s="142"/>
      <x:c r="L191" s="142"/>
      <x:c r="M191" s="226"/>
      <x:c r="N191" s="226"/>
      <x:c r="O191" s="232" t="str">
        <x:f>IF(A191="","",M191-N191)</x:f>
      </x:c>
      <x:c r="P191" s="220"/>
      <x:c r="Q191" s="232" t="str">
        <x:f>IF(A191="","",O191*P191)</x:f>
      </x:c>
      <x:c r="R191" s="226"/>
      <x:c r="S191" s="232" t="str">
        <x:f>IF(A191="","",Q191-R191)</x:f>
      </x:c>
      <x:c r="T191" s="208"/>
      <x:c r="U191" s="142"/>
      <x:c r="V191" s="142"/>
      <x:c r="W191" s="142"/>
    </x:row>
    <x:row r="192" ht="19" customHeight="1">
      <x:c r="A192" s="208"/>
      <x:c r="B192" s="208"/>
      <x:c r="C192" s="142"/>
      <x:c r="D192" s="142"/>
      <x:c r="E192" s="142"/>
      <x:c r="F192" s="142"/>
      <x:c r="G192" s="142"/>
      <x:c r="H192" s="142"/>
      <x:c r="I192" s="142"/>
      <x:c r="J192" s="142"/>
      <x:c r="K192" s="142"/>
      <x:c r="L192" s="142"/>
      <x:c r="M192" s="226"/>
      <x:c r="N192" s="226"/>
      <x:c r="O192" s="232" t="str">
        <x:f>IF(A192="","",M192-N192)</x:f>
      </x:c>
      <x:c r="P192" s="220"/>
      <x:c r="Q192" s="232" t="str">
        <x:f>IF(A192="","",O192*P192)</x:f>
      </x:c>
      <x:c r="R192" s="226"/>
      <x:c r="S192" s="232" t="str">
        <x:f>IF(A192="","",Q192-R192)</x:f>
      </x:c>
      <x:c r="T192" s="208"/>
      <x:c r="U192" s="142"/>
      <x:c r="V192" s="142"/>
      <x:c r="W192" s="142"/>
    </x:row>
    <x:row r="193" ht="19" customHeight="1">
      <x:c r="A193" s="208"/>
      <x:c r="B193" s="208"/>
      <x:c r="C193" s="142"/>
      <x:c r="D193" s="142"/>
      <x:c r="E193" s="142"/>
      <x:c r="F193" s="142"/>
      <x:c r="G193" s="142"/>
      <x:c r="H193" s="142"/>
      <x:c r="I193" s="142"/>
      <x:c r="J193" s="142"/>
      <x:c r="K193" s="142"/>
      <x:c r="L193" s="142"/>
      <x:c r="M193" s="226"/>
      <x:c r="N193" s="226"/>
      <x:c r="O193" s="232" t="str">
        <x:f>IF(A193="","",M193-N193)</x:f>
      </x:c>
      <x:c r="P193" s="220"/>
      <x:c r="Q193" s="232" t="str">
        <x:f>IF(A193="","",O193*P193)</x:f>
      </x:c>
      <x:c r="R193" s="226"/>
      <x:c r="S193" s="232" t="str">
        <x:f>IF(A193="","",Q193-R193)</x:f>
      </x:c>
      <x:c r="T193" s="208"/>
      <x:c r="U193" s="142"/>
      <x:c r="V193" s="142"/>
      <x:c r="W193" s="142"/>
    </x:row>
    <x:row r="194" ht="19" customHeight="1">
      <x:c r="A194" s="208"/>
      <x:c r="B194" s="208"/>
      <x:c r="C194" s="142"/>
      <x:c r="D194" s="142"/>
      <x:c r="E194" s="142"/>
      <x:c r="F194" s="142"/>
      <x:c r="G194" s="142"/>
      <x:c r="H194" s="142"/>
      <x:c r="I194" s="142"/>
      <x:c r="J194" s="142"/>
      <x:c r="K194" s="142"/>
      <x:c r="L194" s="142"/>
      <x:c r="M194" s="226"/>
      <x:c r="N194" s="226"/>
      <x:c r="O194" s="232" t="str">
        <x:f>IF(A194="","",M194-N194)</x:f>
      </x:c>
      <x:c r="P194" s="220"/>
      <x:c r="Q194" s="232" t="str">
        <x:f>IF(A194="","",O194*P194)</x:f>
      </x:c>
      <x:c r="R194" s="226"/>
      <x:c r="S194" s="232" t="str">
        <x:f>IF(A194="","",Q194-R194)</x:f>
      </x:c>
      <x:c r="T194" s="208"/>
      <x:c r="U194" s="142"/>
      <x:c r="V194" s="142"/>
      <x:c r="W194" s="142"/>
    </x:row>
    <x:row r="195" ht="19" customHeight="1">
      <x:c r="A195" s="208"/>
      <x:c r="B195" s="208"/>
      <x:c r="C195" s="142"/>
      <x:c r="D195" s="142"/>
      <x:c r="E195" s="142"/>
      <x:c r="F195" s="142"/>
      <x:c r="G195" s="142"/>
      <x:c r="H195" s="142"/>
      <x:c r="I195" s="142"/>
      <x:c r="J195" s="142"/>
      <x:c r="K195" s="142"/>
      <x:c r="L195" s="142"/>
      <x:c r="M195" s="226"/>
      <x:c r="N195" s="226"/>
      <x:c r="O195" s="232" t="str">
        <x:f>IF(A195="","",M195-N195)</x:f>
      </x:c>
      <x:c r="P195" s="220"/>
      <x:c r="Q195" s="232" t="str">
        <x:f>IF(A195="","",O195*P195)</x:f>
      </x:c>
      <x:c r="R195" s="226"/>
      <x:c r="S195" s="232" t="str">
        <x:f>IF(A195="","",Q195-R195)</x:f>
      </x:c>
      <x:c r="T195" s="208"/>
      <x:c r="U195" s="142"/>
      <x:c r="V195" s="142"/>
      <x:c r="W195" s="142"/>
    </x:row>
    <x:row r="196" ht="19" customHeight="1">
      <x:c r="A196" s="208"/>
      <x:c r="B196" s="208"/>
      <x:c r="C196" s="142"/>
      <x:c r="D196" s="142"/>
      <x:c r="E196" s="142"/>
      <x:c r="F196" s="142"/>
      <x:c r="G196" s="142"/>
      <x:c r="H196" s="142"/>
      <x:c r="I196" s="142"/>
      <x:c r="J196" s="142"/>
      <x:c r="K196" s="142"/>
      <x:c r="L196" s="142"/>
      <x:c r="M196" s="226"/>
      <x:c r="N196" s="226"/>
      <x:c r="O196" s="232" t="str">
        <x:f>IF(A196="","",M196-N196)</x:f>
      </x:c>
      <x:c r="P196" s="220"/>
      <x:c r="Q196" s="232" t="str">
        <x:f>IF(A196="","",O196*P196)</x:f>
      </x:c>
      <x:c r="R196" s="226"/>
      <x:c r="S196" s="232" t="str">
        <x:f>IF(A196="","",Q196-R196)</x:f>
      </x:c>
      <x:c r="T196" s="208"/>
      <x:c r="U196" s="142"/>
      <x:c r="V196" s="142"/>
      <x:c r="W196" s="142"/>
    </x:row>
    <x:row r="197" ht="19" customHeight="1">
      <x:c r="A197" s="208"/>
      <x:c r="B197" s="208"/>
      <x:c r="C197" s="142"/>
      <x:c r="D197" s="142"/>
      <x:c r="E197" s="142"/>
      <x:c r="F197" s="142"/>
      <x:c r="G197" s="142"/>
      <x:c r="H197" s="142"/>
      <x:c r="I197" s="142"/>
      <x:c r="J197" s="142"/>
      <x:c r="K197" s="142"/>
      <x:c r="L197" s="142"/>
      <x:c r="M197" s="226"/>
      <x:c r="N197" s="226"/>
      <x:c r="O197" s="232" t="str">
        <x:f>IF(A197="","",M197-N197)</x:f>
      </x:c>
      <x:c r="P197" s="220"/>
      <x:c r="Q197" s="232" t="str">
        <x:f>IF(A197="","",O197*P197)</x:f>
      </x:c>
      <x:c r="R197" s="226"/>
      <x:c r="S197" s="232" t="str">
        <x:f>IF(A197="","",Q197-R197)</x:f>
      </x:c>
      <x:c r="T197" s="208"/>
      <x:c r="U197" s="142"/>
      <x:c r="V197" s="142"/>
      <x:c r="W197" s="142"/>
    </x:row>
    <x:row r="198" ht="19" customHeight="1">
      <x:c r="A198" s="208"/>
      <x:c r="B198" s="208"/>
      <x:c r="C198" s="142"/>
      <x:c r="D198" s="142"/>
      <x:c r="E198" s="142"/>
      <x:c r="F198" s="142"/>
      <x:c r="G198" s="142"/>
      <x:c r="H198" s="142"/>
      <x:c r="I198" s="142"/>
      <x:c r="J198" s="142"/>
      <x:c r="K198" s="142"/>
      <x:c r="L198" s="142"/>
      <x:c r="M198" s="226"/>
      <x:c r="N198" s="226"/>
      <x:c r="O198" s="232" t="str">
        <x:f>IF(A198="","",M198-N198)</x:f>
      </x:c>
      <x:c r="P198" s="220"/>
      <x:c r="Q198" s="232" t="str">
        <x:f>IF(A198="","",O198*P198)</x:f>
      </x:c>
      <x:c r="R198" s="226"/>
      <x:c r="S198" s="232" t="str">
        <x:f>IF(A198="","",Q198-R198)</x:f>
      </x:c>
      <x:c r="T198" s="208"/>
      <x:c r="U198" s="142"/>
      <x:c r="V198" s="142"/>
      <x:c r="W198" s="142"/>
    </x:row>
    <x:row r="199" ht="19" customHeight="1">
      <x:c r="A199" s="208"/>
      <x:c r="B199" s="208"/>
      <x:c r="C199" s="142"/>
      <x:c r="D199" s="142"/>
      <x:c r="E199" s="142"/>
      <x:c r="F199" s="142"/>
      <x:c r="G199" s="142"/>
      <x:c r="H199" s="142"/>
      <x:c r="I199" s="142"/>
      <x:c r="J199" s="142"/>
      <x:c r="K199" s="142"/>
      <x:c r="L199" s="142"/>
      <x:c r="M199" s="226"/>
      <x:c r="N199" s="226"/>
      <x:c r="O199" s="232" t="str">
        <x:f>IF(A199="","",M199-N199)</x:f>
      </x:c>
      <x:c r="P199" s="220"/>
      <x:c r="Q199" s="232" t="str">
        <x:f>IF(A199="","",O199*P199)</x:f>
      </x:c>
      <x:c r="R199" s="226"/>
      <x:c r="S199" s="232" t="str">
        <x:f>IF(A199="","",Q199-R199)</x:f>
      </x:c>
      <x:c r="T199" s="208"/>
      <x:c r="U199" s="142"/>
      <x:c r="V199" s="142"/>
      <x:c r="W199" s="142"/>
    </x:row>
    <x:row r="200" ht="19" customHeight="1">
      <x:c r="A200" s="208"/>
      <x:c r="B200" s="208"/>
      <x:c r="C200" s="142"/>
      <x:c r="D200" s="142"/>
      <x:c r="E200" s="142"/>
      <x:c r="F200" s="142"/>
      <x:c r="G200" s="142"/>
      <x:c r="H200" s="142"/>
      <x:c r="I200" s="142"/>
      <x:c r="J200" s="142"/>
      <x:c r="K200" s="142"/>
      <x:c r="L200" s="142"/>
      <x:c r="M200" s="226"/>
      <x:c r="N200" s="226"/>
      <x:c r="O200" s="232" t="str">
        <x:f>IF(A200="","",M200-N200)</x:f>
      </x:c>
      <x:c r="P200" s="220"/>
      <x:c r="Q200" s="232" t="str">
        <x:f>IF(A200="","",O200*P200)</x:f>
      </x:c>
      <x:c r="R200" s="226"/>
      <x:c r="S200" s="232" t="str">
        <x:f>IF(A200="","",Q200-R200)</x:f>
      </x:c>
      <x:c r="T200" s="208"/>
      <x:c r="U200" s="142"/>
      <x:c r="V200" s="142"/>
      <x:c r="W200" s="142"/>
    </x:row>
    <x:row r="201" ht="19" customHeight="1">
      <x:c r="A201" s="208"/>
      <x:c r="B201" s="208"/>
      <x:c r="C201" s="142"/>
      <x:c r="D201" s="142"/>
      <x:c r="E201" s="142"/>
      <x:c r="F201" s="142"/>
      <x:c r="G201" s="142"/>
      <x:c r="H201" s="142"/>
      <x:c r="I201" s="142"/>
      <x:c r="J201" s="142"/>
      <x:c r="K201" s="142"/>
      <x:c r="L201" s="142"/>
      <x:c r="M201" s="226"/>
      <x:c r="N201" s="226"/>
      <x:c r="O201" s="232" t="str">
        <x:f>IF(A201="","",M201-N201)</x:f>
      </x:c>
      <x:c r="P201" s="220"/>
      <x:c r="Q201" s="232" t="str">
        <x:f>IF(A201="","",O201*P201)</x:f>
      </x:c>
      <x:c r="R201" s="226"/>
      <x:c r="S201" s="232" t="str">
        <x:f>IF(A201="","",Q201-R201)</x:f>
      </x:c>
      <x:c r="T201" s="208"/>
      <x:c r="U201" s="142"/>
      <x:c r="V201" s="142"/>
      <x:c r="W201" s="142"/>
    </x:row>
    <x:row r="202" ht="19" customHeight="1">
      <x:c r="A202" s="208"/>
      <x:c r="B202" s="208"/>
      <x:c r="C202" s="142"/>
      <x:c r="D202" s="142"/>
      <x:c r="E202" s="142"/>
      <x:c r="F202" s="142"/>
      <x:c r="G202" s="142"/>
      <x:c r="H202" s="142"/>
      <x:c r="I202" s="142"/>
      <x:c r="J202" s="142"/>
      <x:c r="K202" s="142"/>
      <x:c r="L202" s="142"/>
      <x:c r="M202" s="226"/>
      <x:c r="N202" s="226"/>
      <x:c r="O202" s="232" t="str">
        <x:f>IF(A202="","",M202-N202)</x:f>
      </x:c>
      <x:c r="P202" s="220"/>
      <x:c r="Q202" s="232" t="str">
        <x:f>IF(A202="","",O202*P202)</x:f>
      </x:c>
      <x:c r="R202" s="226"/>
      <x:c r="S202" s="232" t="str">
        <x:f>IF(A202="","",Q202-R202)</x:f>
      </x:c>
      <x:c r="T202" s="208"/>
      <x:c r="U202" s="142"/>
      <x:c r="V202" s="142"/>
      <x:c r="W202" s="142"/>
    </x:row>
    <x:row r="203" ht="19" customHeight="1">
      <x:c r="A203" s="208"/>
      <x:c r="B203" s="208"/>
      <x:c r="C203" s="142"/>
      <x:c r="D203" s="142"/>
      <x:c r="E203" s="142"/>
      <x:c r="F203" s="142"/>
      <x:c r="G203" s="142"/>
      <x:c r="H203" s="142"/>
      <x:c r="I203" s="142"/>
      <x:c r="J203" s="142"/>
      <x:c r="K203" s="142"/>
      <x:c r="L203" s="142"/>
      <x:c r="M203" s="226"/>
      <x:c r="N203" s="226"/>
      <x:c r="O203" s="232" t="str">
        <x:f>IF(A203="","",M203-N203)</x:f>
      </x:c>
      <x:c r="P203" s="220"/>
      <x:c r="Q203" s="232" t="str">
        <x:f>IF(A203="","",O203*P203)</x:f>
      </x:c>
      <x:c r="R203" s="226"/>
      <x:c r="S203" s="232" t="str">
        <x:f>IF(A203="","",Q203-R203)</x:f>
      </x:c>
      <x:c r="T203" s="208"/>
      <x:c r="U203" s="142"/>
      <x:c r="V203" s="142"/>
      <x:c r="W203" s="142"/>
    </x:row>
    <x:row r="204" ht="19" customHeight="1">
      <x:c r="A204" s="208"/>
      <x:c r="B204" s="208"/>
      <x:c r="C204" s="142"/>
      <x:c r="D204" s="142"/>
      <x:c r="E204" s="142"/>
      <x:c r="F204" s="142"/>
      <x:c r="G204" s="142"/>
      <x:c r="H204" s="142"/>
      <x:c r="I204" s="142"/>
      <x:c r="J204" s="142"/>
      <x:c r="K204" s="142"/>
      <x:c r="L204" s="142"/>
      <x:c r="M204" s="226"/>
      <x:c r="N204" s="226"/>
      <x:c r="O204" s="232" t="str">
        <x:f>IF(A204="","",M204-N204)</x:f>
      </x:c>
      <x:c r="P204" s="220"/>
      <x:c r="Q204" s="232" t="str">
        <x:f>IF(A204="","",O204*P204)</x:f>
      </x:c>
      <x:c r="R204" s="226"/>
      <x:c r="S204" s="232" t="str">
        <x:f>IF(A204="","",Q204-R204)</x:f>
      </x:c>
      <x:c r="T204" s="208"/>
      <x:c r="U204" s="142"/>
      <x:c r="V204" s="142"/>
      <x:c r="W204" s="142"/>
    </x:row>
    <x:row r="205" ht="19" customHeight="1">
      <x:c r="A205" s="208"/>
      <x:c r="B205" s="208"/>
      <x:c r="C205" s="142"/>
      <x:c r="D205" s="142"/>
      <x:c r="E205" s="142"/>
      <x:c r="F205" s="142"/>
      <x:c r="G205" s="142"/>
      <x:c r="H205" s="142"/>
      <x:c r="I205" s="142"/>
      <x:c r="J205" s="142"/>
      <x:c r="K205" s="142"/>
      <x:c r="L205" s="142"/>
      <x:c r="M205" s="226"/>
      <x:c r="N205" s="226"/>
      <x:c r="O205" s="232" t="str">
        <x:f>IF(A205="","",M205-N205)</x:f>
      </x:c>
      <x:c r="P205" s="220"/>
      <x:c r="Q205" s="232" t="str">
        <x:f>IF(A205="","",O205*P205)</x:f>
      </x:c>
      <x:c r="R205" s="226"/>
      <x:c r="S205" s="232" t="str">
        <x:f>IF(A205="","",Q205-R205)</x:f>
      </x:c>
      <x:c r="T205" s="208"/>
      <x:c r="U205" s="142"/>
      <x:c r="V205" s="142"/>
      <x:c r="W205" s="142"/>
    </x:row>
    <x:row r="206" ht="19" customHeight="1">
      <x:c r="A206" s="208"/>
      <x:c r="B206" s="208"/>
      <x:c r="C206" s="142"/>
      <x:c r="D206" s="142"/>
      <x:c r="E206" s="142"/>
      <x:c r="F206" s="142"/>
      <x:c r="G206" s="142"/>
      <x:c r="H206" s="142"/>
      <x:c r="I206" s="142"/>
      <x:c r="J206" s="142"/>
      <x:c r="K206" s="142"/>
      <x:c r="L206" s="142"/>
      <x:c r="M206" s="226"/>
      <x:c r="N206" s="226"/>
      <x:c r="O206" s="232" t="str">
        <x:f>IF(A206="","",M206-N206)</x:f>
      </x:c>
      <x:c r="P206" s="220"/>
      <x:c r="Q206" s="232" t="str">
        <x:f>IF(A206="","",O206*P206)</x:f>
      </x:c>
      <x:c r="R206" s="226"/>
      <x:c r="S206" s="232" t="str">
        <x:f>IF(A206="","",Q206-R206)</x:f>
      </x:c>
      <x:c r="T206" s="208"/>
      <x:c r="U206" s="142"/>
      <x:c r="V206" s="142"/>
      <x:c r="W206" s="142"/>
    </x:row>
    <x:row r="207" ht="19" customHeight="1">
      <x:c r="A207" s="208"/>
      <x:c r="B207" s="208"/>
      <x:c r="C207" s="142"/>
      <x:c r="D207" s="142"/>
      <x:c r="E207" s="142"/>
      <x:c r="F207" s="142"/>
      <x:c r="G207" s="142"/>
      <x:c r="H207" s="142"/>
      <x:c r="I207" s="142"/>
      <x:c r="J207" s="142"/>
      <x:c r="K207" s="142"/>
      <x:c r="L207" s="142"/>
      <x:c r="M207" s="226"/>
      <x:c r="N207" s="226"/>
      <x:c r="O207" s="232" t="str">
        <x:f>IF(A207="","",M207-N207)</x:f>
      </x:c>
      <x:c r="P207" s="220"/>
      <x:c r="Q207" s="232" t="str">
        <x:f>IF(A207="","",O207*P207)</x:f>
      </x:c>
      <x:c r="R207" s="226"/>
      <x:c r="S207" s="232" t="str">
        <x:f>IF(A207="","",Q207-R207)</x:f>
      </x:c>
      <x:c r="T207" s="208"/>
      <x:c r="U207" s="142"/>
      <x:c r="V207" s="142"/>
      <x:c r="W207" s="142"/>
    </x:row>
    <x:row r="208" ht="19" customHeight="1">
      <x:c r="A208" s="208"/>
      <x:c r="B208" s="208"/>
      <x:c r="C208" s="142"/>
      <x:c r="D208" s="142"/>
      <x:c r="E208" s="142"/>
      <x:c r="F208" s="142"/>
      <x:c r="G208" s="142"/>
      <x:c r="H208" s="142"/>
      <x:c r="I208" s="142"/>
      <x:c r="J208" s="142"/>
      <x:c r="K208" s="142"/>
      <x:c r="L208" s="142"/>
      <x:c r="M208" s="226"/>
      <x:c r="N208" s="226"/>
      <x:c r="O208" s="232" t="str">
        <x:f>IF(A208="","",M208-N208)</x:f>
      </x:c>
      <x:c r="P208" s="220"/>
      <x:c r="Q208" s="232" t="str">
        <x:f>IF(A208="","",O208*P208)</x:f>
      </x:c>
      <x:c r="R208" s="226"/>
      <x:c r="S208" s="232" t="str">
        <x:f>IF(A208="","",Q208-R208)</x:f>
      </x:c>
      <x:c r="T208" s="208"/>
      <x:c r="U208" s="142"/>
      <x:c r="V208" s="142"/>
      <x:c r="W208" s="142"/>
    </x:row>
    <x:row r="209" ht="19" customHeight="1">
      <x:c r="A209" s="208"/>
      <x:c r="B209" s="208"/>
      <x:c r="C209" s="142"/>
      <x:c r="D209" s="142"/>
      <x:c r="E209" s="142"/>
      <x:c r="F209" s="142"/>
      <x:c r="G209" s="142"/>
      <x:c r="H209" s="142"/>
      <x:c r="I209" s="142"/>
      <x:c r="J209" s="142"/>
      <x:c r="K209" s="142"/>
      <x:c r="L209" s="142"/>
      <x:c r="M209" s="226"/>
      <x:c r="N209" s="226"/>
      <x:c r="O209" s="232" t="str">
        <x:f>IF(A209="","",M209-N209)</x:f>
      </x:c>
      <x:c r="P209" s="220"/>
      <x:c r="Q209" s="232" t="str">
        <x:f>IF(A209="","",O209*P209)</x:f>
      </x:c>
      <x:c r="R209" s="226"/>
      <x:c r="S209" s="232" t="str">
        <x:f>IF(A209="","",Q209-R209)</x:f>
      </x:c>
      <x:c r="T209" s="208"/>
      <x:c r="U209" s="142"/>
      <x:c r="V209" s="142"/>
      <x:c r="W209" s="142"/>
    </x:row>
    <x:row r="210" ht="19" customHeight="1">
      <x:c r="A210" s="208"/>
      <x:c r="B210" s="208"/>
      <x:c r="C210" s="142"/>
      <x:c r="D210" s="142"/>
      <x:c r="E210" s="142"/>
      <x:c r="F210" s="142"/>
      <x:c r="G210" s="142"/>
      <x:c r="H210" s="142"/>
      <x:c r="I210" s="142"/>
      <x:c r="J210" s="142"/>
      <x:c r="K210" s="142"/>
      <x:c r="L210" s="142"/>
      <x:c r="M210" s="226"/>
      <x:c r="N210" s="226"/>
      <x:c r="O210" s="232" t="str">
        <x:f>IF(A210="","",M210-N210)</x:f>
      </x:c>
      <x:c r="P210" s="220"/>
      <x:c r="Q210" s="232" t="str">
        <x:f>IF(A210="","",O210*P210)</x:f>
      </x:c>
      <x:c r="R210" s="226"/>
      <x:c r="S210" s="232" t="str">
        <x:f>IF(A210="","",Q210-R210)</x:f>
      </x:c>
      <x:c r="T210" s="208"/>
      <x:c r="U210" s="142"/>
      <x:c r="V210" s="142"/>
      <x:c r="W210" s="142"/>
    </x:row>
    <x:row r="211" ht="19" customHeight="1">
      <x:c r="A211" s="208"/>
      <x:c r="B211" s="208"/>
      <x:c r="C211" s="142"/>
      <x:c r="D211" s="142"/>
      <x:c r="E211" s="142"/>
      <x:c r="F211" s="142"/>
      <x:c r="G211" s="142"/>
      <x:c r="H211" s="142"/>
      <x:c r="I211" s="142"/>
      <x:c r="J211" s="142"/>
      <x:c r="K211" s="142"/>
      <x:c r="L211" s="142"/>
      <x:c r="M211" s="226"/>
      <x:c r="N211" s="226"/>
      <x:c r="O211" s="232" t="str">
        <x:f>IF(A211="","",M211-N211)</x:f>
      </x:c>
      <x:c r="P211" s="220"/>
      <x:c r="Q211" s="232" t="str">
        <x:f>IF(A211="","",O211*P211)</x:f>
      </x:c>
      <x:c r="R211" s="226"/>
      <x:c r="S211" s="232" t="str">
        <x:f>IF(A211="","",Q211-R211)</x:f>
      </x:c>
      <x:c r="T211" s="208"/>
      <x:c r="U211" s="142"/>
      <x:c r="V211" s="142"/>
      <x:c r="W211" s="142"/>
    </x:row>
    <x:row r="212" ht="19" customHeight="1">
      <x:c r="A212" s="208"/>
      <x:c r="B212" s="208"/>
      <x:c r="C212" s="142"/>
      <x:c r="D212" s="142"/>
      <x:c r="E212" s="142"/>
      <x:c r="F212" s="142"/>
      <x:c r="G212" s="142"/>
      <x:c r="H212" s="142"/>
      <x:c r="I212" s="142"/>
      <x:c r="J212" s="142"/>
      <x:c r="K212" s="142"/>
      <x:c r="L212" s="142"/>
      <x:c r="M212" s="226"/>
      <x:c r="N212" s="226"/>
      <x:c r="O212" s="232" t="str">
        <x:f>IF(A212="","",M212-N212)</x:f>
      </x:c>
      <x:c r="P212" s="220"/>
      <x:c r="Q212" s="232" t="str">
        <x:f>IF(A212="","",O212*P212)</x:f>
      </x:c>
      <x:c r="R212" s="226"/>
      <x:c r="S212" s="232" t="str">
        <x:f>IF(A212="","",Q212-R212)</x:f>
      </x:c>
      <x:c r="T212" s="208"/>
      <x:c r="U212" s="142"/>
      <x:c r="V212" s="142"/>
      <x:c r="W212" s="142"/>
    </x:row>
    <x:row r="213" ht="19" customHeight="1">
      <x:c r="A213" s="208"/>
      <x:c r="B213" s="208"/>
      <x:c r="C213" s="142"/>
      <x:c r="D213" s="142"/>
      <x:c r="E213" s="142"/>
      <x:c r="F213" s="142"/>
      <x:c r="G213" s="142"/>
      <x:c r="H213" s="142"/>
      <x:c r="I213" s="142"/>
      <x:c r="J213" s="142"/>
      <x:c r="K213" s="142"/>
      <x:c r="L213" s="142"/>
      <x:c r="M213" s="226"/>
      <x:c r="N213" s="226"/>
      <x:c r="O213" s="232" t="str">
        <x:f>IF(A213="","",M213-N213)</x:f>
      </x:c>
      <x:c r="P213" s="220"/>
      <x:c r="Q213" s="232" t="str">
        <x:f>IF(A213="","",O213*P213)</x:f>
      </x:c>
      <x:c r="R213" s="226"/>
      <x:c r="S213" s="232" t="str">
        <x:f>IF(A213="","",Q213-R213)</x:f>
      </x:c>
      <x:c r="T213" s="208"/>
      <x:c r="U213" s="142"/>
      <x:c r="V213" s="142"/>
      <x:c r="W213" s="142"/>
    </x:row>
    <x:row r="214" ht="19" customHeight="1">
      <x:c r="A214" s="208"/>
      <x:c r="B214" s="208"/>
      <x:c r="C214" s="142"/>
      <x:c r="D214" s="142"/>
      <x:c r="E214" s="142"/>
      <x:c r="F214" s="142"/>
      <x:c r="G214" s="142"/>
      <x:c r="H214" s="142"/>
      <x:c r="I214" s="142"/>
      <x:c r="J214" s="142"/>
      <x:c r="K214" s="142"/>
      <x:c r="L214" s="142"/>
      <x:c r="M214" s="226"/>
      <x:c r="N214" s="226"/>
      <x:c r="O214" s="232" t="str">
        <x:f>IF(A214="","",M214-N214)</x:f>
      </x:c>
      <x:c r="P214" s="220"/>
      <x:c r="Q214" s="232" t="str">
        <x:f>IF(A214="","",O214*P214)</x:f>
      </x:c>
      <x:c r="R214" s="226"/>
      <x:c r="S214" s="232" t="str">
        <x:f>IF(A214="","",Q214-R214)</x:f>
      </x:c>
      <x:c r="T214" s="208"/>
      <x:c r="U214" s="142"/>
      <x:c r="V214" s="142"/>
      <x:c r="W214" s="142"/>
    </x:row>
    <x:row r="215" ht="19" customHeight="1">
      <x:c r="A215" s="208"/>
      <x:c r="B215" s="208"/>
      <x:c r="C215" s="142"/>
      <x:c r="D215" s="142"/>
      <x:c r="E215" s="142"/>
      <x:c r="F215" s="142"/>
      <x:c r="G215" s="142"/>
      <x:c r="H215" s="142"/>
      <x:c r="I215" s="142"/>
      <x:c r="J215" s="142"/>
      <x:c r="K215" s="142"/>
      <x:c r="L215" s="142"/>
      <x:c r="M215" s="226"/>
      <x:c r="N215" s="226"/>
      <x:c r="O215" s="232" t="str">
        <x:f>IF(A215="","",M215-N215)</x:f>
      </x:c>
      <x:c r="P215" s="220"/>
      <x:c r="Q215" s="232" t="str">
        <x:f>IF(A215="","",O215*P215)</x:f>
      </x:c>
      <x:c r="R215" s="226"/>
      <x:c r="S215" s="232" t="str">
        <x:f>IF(A215="","",Q215-R215)</x:f>
      </x:c>
      <x:c r="T215" s="208"/>
      <x:c r="U215" s="142"/>
      <x:c r="V215" s="142"/>
      <x:c r="W215" s="142"/>
    </x:row>
    <x:row r="216" ht="19" customHeight="1">
      <x:c r="A216" s="208"/>
      <x:c r="B216" s="208"/>
      <x:c r="C216" s="142"/>
      <x:c r="D216" s="142"/>
      <x:c r="E216" s="142"/>
      <x:c r="F216" s="142"/>
      <x:c r="G216" s="142"/>
      <x:c r="H216" s="142"/>
      <x:c r="I216" s="142"/>
      <x:c r="J216" s="142"/>
      <x:c r="K216" s="142"/>
      <x:c r="L216" s="142"/>
      <x:c r="M216" s="226"/>
      <x:c r="N216" s="226"/>
      <x:c r="O216" s="232" t="str">
        <x:f>IF(A216="","",M216-N216)</x:f>
      </x:c>
      <x:c r="P216" s="220"/>
      <x:c r="Q216" s="232" t="str">
        <x:f>IF(A216="","",O216*P216)</x:f>
      </x:c>
      <x:c r="R216" s="226"/>
      <x:c r="S216" s="232" t="str">
        <x:f>IF(A216="","",Q216-R216)</x:f>
      </x:c>
      <x:c r="T216" s="208"/>
      <x:c r="U216" s="142"/>
      <x:c r="V216" s="142"/>
      <x:c r="W216" s="142"/>
    </x:row>
    <x:row r="217" ht="19" customHeight="1">
      <x:c r="A217" s="208"/>
      <x:c r="B217" s="208"/>
      <x:c r="C217" s="142"/>
      <x:c r="D217" s="142"/>
      <x:c r="E217" s="142"/>
      <x:c r="F217" s="142"/>
      <x:c r="G217" s="142"/>
      <x:c r="H217" s="142"/>
      <x:c r="I217" s="142"/>
      <x:c r="J217" s="142"/>
      <x:c r="K217" s="142"/>
      <x:c r="L217" s="142"/>
      <x:c r="M217" s="226"/>
      <x:c r="N217" s="226"/>
      <x:c r="O217" s="232" t="str">
        <x:f>IF(A217="","",M217-N217)</x:f>
      </x:c>
      <x:c r="P217" s="220"/>
      <x:c r="Q217" s="232" t="str">
        <x:f>IF(A217="","",O217*P217)</x:f>
      </x:c>
      <x:c r="R217" s="226"/>
      <x:c r="S217" s="232" t="str">
        <x:f>IF(A217="","",Q217-R217)</x:f>
      </x:c>
      <x:c r="T217" s="208"/>
      <x:c r="U217" s="142"/>
      <x:c r="V217" s="142"/>
      <x:c r="W217" s="142"/>
    </x:row>
    <x:row r="218" ht="19" customHeight="1">
      <x:c r="A218" s="208"/>
      <x:c r="B218" s="208"/>
      <x:c r="C218" s="142"/>
      <x:c r="D218" s="142"/>
      <x:c r="E218" s="142"/>
      <x:c r="F218" s="142"/>
      <x:c r="G218" s="142"/>
      <x:c r="H218" s="142"/>
      <x:c r="I218" s="142"/>
      <x:c r="J218" s="142"/>
      <x:c r="K218" s="142"/>
      <x:c r="L218" s="142"/>
      <x:c r="M218" s="226"/>
      <x:c r="N218" s="226"/>
      <x:c r="O218" s="232" t="str">
        <x:f>IF(A218="","",M218-N218)</x:f>
      </x:c>
      <x:c r="P218" s="220"/>
      <x:c r="Q218" s="232" t="str">
        <x:f>IF(A218="","",O218*P218)</x:f>
      </x:c>
      <x:c r="R218" s="226"/>
      <x:c r="S218" s="232" t="str">
        <x:f>IF(A218="","",Q218-R218)</x:f>
      </x:c>
      <x:c r="T218" s="208"/>
      <x:c r="U218" s="142"/>
      <x:c r="V218" s="142"/>
      <x:c r="W218" s="142"/>
    </x:row>
    <x:row r="219" ht="19" customHeight="1">
      <x:c r="A219" s="208"/>
      <x:c r="B219" s="208"/>
      <x:c r="C219" s="142"/>
      <x:c r="D219" s="142"/>
      <x:c r="E219" s="142"/>
      <x:c r="F219" s="142"/>
      <x:c r="G219" s="142"/>
      <x:c r="H219" s="142"/>
      <x:c r="I219" s="142"/>
      <x:c r="J219" s="142"/>
      <x:c r="K219" s="142"/>
      <x:c r="L219" s="142"/>
      <x:c r="M219" s="226"/>
      <x:c r="N219" s="226"/>
      <x:c r="O219" s="232" t="str">
        <x:f>IF(A219="","",M219-N219)</x:f>
      </x:c>
      <x:c r="P219" s="220"/>
      <x:c r="Q219" s="232" t="str">
        <x:f>IF(A219="","",O219*P219)</x:f>
      </x:c>
      <x:c r="R219" s="226"/>
      <x:c r="S219" s="232" t="str">
        <x:f>IF(A219="","",Q219-R219)</x:f>
      </x:c>
      <x:c r="T219" s="208"/>
      <x:c r="U219" s="142"/>
      <x:c r="V219" s="142"/>
      <x:c r="W219" s="142"/>
    </x:row>
    <x:row r="220" ht="19" customHeight="1">
      <x:c r="A220" s="208"/>
      <x:c r="B220" s="208"/>
      <x:c r="C220" s="142"/>
      <x:c r="D220" s="142"/>
      <x:c r="E220" s="142"/>
      <x:c r="F220" s="142"/>
      <x:c r="G220" s="142"/>
      <x:c r="H220" s="142"/>
      <x:c r="I220" s="142"/>
      <x:c r="J220" s="142"/>
      <x:c r="K220" s="142"/>
      <x:c r="L220" s="142"/>
      <x:c r="M220" s="226"/>
      <x:c r="N220" s="226"/>
      <x:c r="O220" s="232" t="str">
        <x:f>IF(A220="","",M220-N220)</x:f>
      </x:c>
      <x:c r="P220" s="220"/>
      <x:c r="Q220" s="232" t="str">
        <x:f>IF(A220="","",O220*P220)</x:f>
      </x:c>
      <x:c r="R220" s="226"/>
      <x:c r="S220" s="232" t="str">
        <x:f>IF(A220="","",Q220-R220)</x:f>
      </x:c>
      <x:c r="T220" s="208"/>
      <x:c r="U220" s="142"/>
      <x:c r="V220" s="142"/>
      <x:c r="W220" s="142"/>
    </x:row>
    <x:row r="221" ht="19" customHeight="1">
      <x:c r="A221" s="208"/>
      <x:c r="B221" s="208"/>
      <x:c r="C221" s="142"/>
      <x:c r="D221" s="142"/>
      <x:c r="E221" s="142"/>
      <x:c r="F221" s="142"/>
      <x:c r="G221" s="142"/>
      <x:c r="H221" s="142"/>
      <x:c r="I221" s="142"/>
      <x:c r="J221" s="142"/>
      <x:c r="K221" s="142"/>
      <x:c r="L221" s="142"/>
      <x:c r="M221" s="226"/>
      <x:c r="N221" s="226"/>
      <x:c r="O221" s="232" t="str">
        <x:f>IF(A221="","",M221-N221)</x:f>
      </x:c>
      <x:c r="P221" s="220"/>
      <x:c r="Q221" s="232" t="str">
        <x:f>IF(A221="","",O221*P221)</x:f>
      </x:c>
      <x:c r="R221" s="226"/>
      <x:c r="S221" s="232" t="str">
        <x:f>IF(A221="","",Q221-R221)</x:f>
      </x:c>
      <x:c r="T221" s="208"/>
      <x:c r="U221" s="142"/>
      <x:c r="V221" s="142"/>
      <x:c r="W221" s="142"/>
    </x:row>
    <x:row r="222" ht="19" customHeight="1">
      <x:c r="A222" s="208"/>
      <x:c r="B222" s="208"/>
      <x:c r="C222" s="142"/>
      <x:c r="D222" s="142"/>
      <x:c r="E222" s="142"/>
      <x:c r="F222" s="142"/>
      <x:c r="G222" s="142"/>
      <x:c r="H222" s="142"/>
      <x:c r="I222" s="142"/>
      <x:c r="J222" s="142"/>
      <x:c r="K222" s="142"/>
      <x:c r="L222" s="142"/>
      <x:c r="M222" s="226"/>
      <x:c r="N222" s="226"/>
      <x:c r="O222" s="232" t="str">
        <x:f>IF(A222="","",M222-N222)</x:f>
      </x:c>
      <x:c r="P222" s="220"/>
      <x:c r="Q222" s="232" t="str">
        <x:f>IF(A222="","",O222*P222)</x:f>
      </x:c>
      <x:c r="R222" s="226"/>
      <x:c r="S222" s="232" t="str">
        <x:f>IF(A222="","",Q222-R222)</x:f>
      </x:c>
      <x:c r="T222" s="208"/>
      <x:c r="U222" s="142"/>
      <x:c r="V222" s="142"/>
      <x:c r="W222" s="142"/>
    </x:row>
    <x:row r="223" ht="19" customHeight="1">
      <x:c r="A223" s="208"/>
      <x:c r="B223" s="208"/>
      <x:c r="C223" s="142"/>
      <x:c r="D223" s="142"/>
      <x:c r="E223" s="142"/>
      <x:c r="F223" s="142"/>
      <x:c r="G223" s="142"/>
      <x:c r="H223" s="142"/>
      <x:c r="I223" s="142"/>
      <x:c r="J223" s="142"/>
      <x:c r="K223" s="142"/>
      <x:c r="L223" s="142"/>
      <x:c r="M223" s="226"/>
      <x:c r="N223" s="226"/>
      <x:c r="O223" s="232" t="str">
        <x:f>IF(A223="","",M223-N223)</x:f>
      </x:c>
      <x:c r="P223" s="220"/>
      <x:c r="Q223" s="232" t="str">
        <x:f>IF(A223="","",O223*P223)</x:f>
      </x:c>
      <x:c r="R223" s="226"/>
      <x:c r="S223" s="232" t="str">
        <x:f>IF(A223="","",Q223-R223)</x:f>
      </x:c>
      <x:c r="T223" s="208"/>
      <x:c r="U223" s="142"/>
      <x:c r="V223" s="142"/>
      <x:c r="W223" s="142"/>
    </x:row>
    <x:row r="224" ht="19" customHeight="1">
      <x:c r="A224" s="208"/>
      <x:c r="B224" s="208"/>
      <x:c r="C224" s="142"/>
      <x:c r="D224" s="142"/>
      <x:c r="E224" s="142"/>
      <x:c r="F224" s="142"/>
      <x:c r="G224" s="142"/>
      <x:c r="H224" s="142"/>
      <x:c r="I224" s="142"/>
      <x:c r="J224" s="142"/>
      <x:c r="K224" s="142"/>
      <x:c r="L224" s="142"/>
      <x:c r="M224" s="226"/>
      <x:c r="N224" s="226"/>
      <x:c r="O224" s="232" t="str">
        <x:f>IF(A224="","",M224-N224)</x:f>
      </x:c>
      <x:c r="P224" s="220"/>
      <x:c r="Q224" s="232" t="str">
        <x:f>IF(A224="","",O224*P224)</x:f>
      </x:c>
      <x:c r="R224" s="226"/>
      <x:c r="S224" s="232" t="str">
        <x:f>IF(A224="","",Q224-R224)</x:f>
      </x:c>
      <x:c r="T224" s="208"/>
      <x:c r="U224" s="142"/>
      <x:c r="V224" s="142"/>
      <x:c r="W224" s="142"/>
    </x:row>
    <x:row r="225" ht="19" customHeight="1">
      <x:c r="A225" s="208"/>
      <x:c r="B225" s="208"/>
      <x:c r="C225" s="142"/>
      <x:c r="D225" s="142"/>
      <x:c r="E225" s="142"/>
      <x:c r="F225" s="142"/>
      <x:c r="G225" s="142"/>
      <x:c r="H225" s="142"/>
      <x:c r="I225" s="142"/>
      <x:c r="J225" s="142"/>
      <x:c r="K225" s="142"/>
      <x:c r="L225" s="142"/>
      <x:c r="M225" s="226"/>
      <x:c r="N225" s="226"/>
      <x:c r="O225" s="232" t="str">
        <x:f>IF(A225="","",M225-N225)</x:f>
      </x:c>
      <x:c r="P225" s="220"/>
      <x:c r="Q225" s="232" t="str">
        <x:f>IF(A225="","",O225*P225)</x:f>
      </x:c>
      <x:c r="R225" s="226"/>
      <x:c r="S225" s="232" t="str">
        <x:f>IF(A225="","",Q225-R225)</x:f>
      </x:c>
      <x:c r="T225" s="208"/>
      <x:c r="U225" s="142"/>
      <x:c r="V225" s="142"/>
      <x:c r="W225" s="142"/>
    </x:row>
    <x:row r="226" ht="19" customHeight="1">
      <x:c r="A226" s="208"/>
      <x:c r="B226" s="208"/>
      <x:c r="C226" s="142"/>
      <x:c r="D226" s="142"/>
      <x:c r="E226" s="142"/>
      <x:c r="F226" s="142"/>
      <x:c r="G226" s="142"/>
      <x:c r="H226" s="142"/>
      <x:c r="I226" s="142"/>
      <x:c r="J226" s="142"/>
      <x:c r="K226" s="142"/>
      <x:c r="L226" s="142"/>
      <x:c r="M226" s="226"/>
      <x:c r="N226" s="226"/>
      <x:c r="O226" s="232" t="str">
        <x:f>IF(A226="","",M226-N226)</x:f>
      </x:c>
      <x:c r="P226" s="220"/>
      <x:c r="Q226" s="232" t="str">
        <x:f>IF(A226="","",O226*P226)</x:f>
      </x:c>
      <x:c r="R226" s="226"/>
      <x:c r="S226" s="232" t="str">
        <x:f>IF(A226="","",Q226-R226)</x:f>
      </x:c>
      <x:c r="T226" s="208"/>
      <x:c r="U226" s="142"/>
      <x:c r="V226" s="142"/>
      <x:c r="W226" s="142"/>
    </x:row>
    <x:row r="227" ht="19" customHeight="1">
      <x:c r="A227" s="208"/>
      <x:c r="B227" s="208"/>
      <x:c r="C227" s="142"/>
      <x:c r="D227" s="142"/>
      <x:c r="E227" s="142"/>
      <x:c r="F227" s="142"/>
      <x:c r="G227" s="142"/>
      <x:c r="H227" s="142"/>
      <x:c r="I227" s="142"/>
      <x:c r="J227" s="142"/>
      <x:c r="K227" s="142"/>
      <x:c r="L227" s="142"/>
      <x:c r="M227" s="226"/>
      <x:c r="N227" s="226"/>
      <x:c r="O227" s="232" t="str">
        <x:f>IF(A227="","",M227-N227)</x:f>
      </x:c>
      <x:c r="P227" s="220"/>
      <x:c r="Q227" s="232" t="str">
        <x:f>IF(A227="","",O227*P227)</x:f>
      </x:c>
      <x:c r="R227" s="226"/>
      <x:c r="S227" s="232" t="str">
        <x:f>IF(A227="","",Q227-R227)</x:f>
      </x:c>
      <x:c r="T227" s="208"/>
      <x:c r="U227" s="142"/>
      <x:c r="V227" s="142"/>
      <x:c r="W227" s="142"/>
    </x:row>
    <x:row r="228" ht="19" customHeight="1">
      <x:c r="A228" s="208"/>
      <x:c r="B228" s="208"/>
      <x:c r="C228" s="142"/>
      <x:c r="D228" s="142"/>
      <x:c r="E228" s="142"/>
      <x:c r="F228" s="142"/>
      <x:c r="G228" s="142"/>
      <x:c r="H228" s="142"/>
      <x:c r="I228" s="142"/>
      <x:c r="J228" s="142"/>
      <x:c r="K228" s="142"/>
      <x:c r="L228" s="142"/>
      <x:c r="M228" s="226"/>
      <x:c r="N228" s="226"/>
      <x:c r="O228" s="232" t="str">
        <x:f>IF(A228="","",M228-N228)</x:f>
      </x:c>
      <x:c r="P228" s="220"/>
      <x:c r="Q228" s="232" t="str">
        <x:f>IF(A228="","",O228*P228)</x:f>
      </x:c>
      <x:c r="R228" s="226"/>
      <x:c r="S228" s="232" t="str">
        <x:f>IF(A228="","",Q228-R228)</x:f>
      </x:c>
      <x:c r="T228" s="208"/>
      <x:c r="U228" s="142"/>
      <x:c r="V228" s="142"/>
      <x:c r="W228" s="142"/>
    </x:row>
    <x:row r="229" ht="19" customHeight="1">
      <x:c r="A229" s="208"/>
      <x:c r="B229" s="208"/>
      <x:c r="C229" s="142"/>
      <x:c r="D229" s="142"/>
      <x:c r="E229" s="142"/>
      <x:c r="F229" s="142"/>
      <x:c r="G229" s="142"/>
      <x:c r="H229" s="142"/>
      <x:c r="I229" s="142"/>
      <x:c r="J229" s="142"/>
      <x:c r="K229" s="142"/>
      <x:c r="L229" s="142"/>
      <x:c r="M229" s="226"/>
      <x:c r="N229" s="226"/>
      <x:c r="O229" s="232" t="str">
        <x:f>IF(A229="","",M229-N229)</x:f>
      </x:c>
      <x:c r="P229" s="220"/>
      <x:c r="Q229" s="232" t="str">
        <x:f>IF(A229="","",O229*P229)</x:f>
      </x:c>
      <x:c r="R229" s="226"/>
      <x:c r="S229" s="232" t="str">
        <x:f>IF(A229="","",Q229-R229)</x:f>
      </x:c>
      <x:c r="T229" s="208"/>
      <x:c r="U229" s="142"/>
      <x:c r="V229" s="142"/>
      <x:c r="W229" s="142"/>
    </x:row>
    <x:row r="230" ht="19" customHeight="1">
      <x:c r="A230" s="208"/>
      <x:c r="B230" s="208"/>
      <x:c r="C230" s="142"/>
      <x:c r="D230" s="142"/>
      <x:c r="E230" s="142"/>
      <x:c r="F230" s="142"/>
      <x:c r="G230" s="142"/>
      <x:c r="H230" s="142"/>
      <x:c r="I230" s="142"/>
      <x:c r="J230" s="142"/>
      <x:c r="K230" s="142"/>
      <x:c r="L230" s="142"/>
      <x:c r="M230" s="226"/>
      <x:c r="N230" s="226"/>
      <x:c r="O230" s="232" t="str">
        <x:f>IF(A230="","",M230-N230)</x:f>
      </x:c>
      <x:c r="P230" s="220"/>
      <x:c r="Q230" s="232" t="str">
        <x:f>IF(A230="","",O230*P230)</x:f>
      </x:c>
      <x:c r="R230" s="226"/>
      <x:c r="S230" s="232" t="str">
        <x:f>IF(A230="","",Q230-R230)</x:f>
      </x:c>
      <x:c r="T230" s="208"/>
      <x:c r="U230" s="142"/>
      <x:c r="V230" s="142"/>
      <x:c r="W230" s="142"/>
    </x:row>
    <x:row r="231" ht="19" customHeight="1">
      <x:c r="A231" s="208"/>
      <x:c r="B231" s="208"/>
      <x:c r="C231" s="142"/>
      <x:c r="D231" s="142"/>
      <x:c r="E231" s="142"/>
      <x:c r="F231" s="142"/>
      <x:c r="G231" s="142"/>
      <x:c r="H231" s="142"/>
      <x:c r="I231" s="142"/>
      <x:c r="J231" s="142"/>
      <x:c r="K231" s="142"/>
      <x:c r="L231" s="142"/>
      <x:c r="M231" s="226"/>
      <x:c r="N231" s="226"/>
      <x:c r="O231" s="232" t="str">
        <x:f>IF(A231="","",M231-N231)</x:f>
      </x:c>
      <x:c r="P231" s="220"/>
      <x:c r="Q231" s="232" t="str">
        <x:f>IF(A231="","",O231*P231)</x:f>
      </x:c>
      <x:c r="R231" s="226"/>
      <x:c r="S231" s="232" t="str">
        <x:f>IF(A231="","",Q231-R231)</x:f>
      </x:c>
      <x:c r="T231" s="208"/>
      <x:c r="U231" s="142"/>
      <x:c r="V231" s="142"/>
      <x:c r="W231" s="142"/>
    </x:row>
    <x:row r="232" ht="19" customHeight="1">
      <x:c r="A232" s="208"/>
      <x:c r="B232" s="208"/>
      <x:c r="C232" s="142"/>
      <x:c r="D232" s="142"/>
      <x:c r="E232" s="142"/>
      <x:c r="F232" s="142"/>
      <x:c r="G232" s="142"/>
      <x:c r="H232" s="142"/>
      <x:c r="I232" s="142"/>
      <x:c r="J232" s="142"/>
      <x:c r="K232" s="142"/>
      <x:c r="L232" s="142"/>
      <x:c r="M232" s="226"/>
      <x:c r="N232" s="226"/>
      <x:c r="O232" s="232" t="str">
        <x:f>IF(A232="","",M232-N232)</x:f>
      </x:c>
      <x:c r="P232" s="220"/>
      <x:c r="Q232" s="232" t="str">
        <x:f>IF(A232="","",O232*P232)</x:f>
      </x:c>
      <x:c r="R232" s="226"/>
      <x:c r="S232" s="232" t="str">
        <x:f>IF(A232="","",Q232-R232)</x:f>
      </x:c>
      <x:c r="T232" s="208"/>
      <x:c r="U232" s="142"/>
      <x:c r="V232" s="142"/>
      <x:c r="W232" s="142"/>
    </x:row>
    <x:row r="233" ht="19" customHeight="1">
      <x:c r="A233" s="208"/>
      <x:c r="B233" s="208"/>
      <x:c r="C233" s="142"/>
      <x:c r="D233" s="142"/>
      <x:c r="E233" s="142"/>
      <x:c r="F233" s="142"/>
      <x:c r="G233" s="142"/>
      <x:c r="H233" s="142"/>
      <x:c r="I233" s="142"/>
      <x:c r="J233" s="142"/>
      <x:c r="K233" s="142"/>
      <x:c r="L233" s="142"/>
      <x:c r="M233" s="226"/>
      <x:c r="N233" s="226"/>
      <x:c r="O233" s="232" t="str">
        <x:f>IF(A233="","",M233-N233)</x:f>
      </x:c>
      <x:c r="P233" s="220"/>
      <x:c r="Q233" s="232" t="str">
        <x:f>IF(A233="","",O233*P233)</x:f>
      </x:c>
      <x:c r="R233" s="226"/>
      <x:c r="S233" s="232" t="str">
        <x:f>IF(A233="","",Q233-R233)</x:f>
      </x:c>
      <x:c r="T233" s="208"/>
      <x:c r="U233" s="142"/>
      <x:c r="V233" s="142"/>
      <x:c r="W233" s="142"/>
    </x:row>
    <x:row r="234" ht="19" customHeight="1">
      <x:c r="A234" s="208"/>
      <x:c r="B234" s="208"/>
      <x:c r="C234" s="142"/>
      <x:c r="D234" s="142"/>
      <x:c r="E234" s="142"/>
      <x:c r="F234" s="142"/>
      <x:c r="G234" s="142"/>
      <x:c r="H234" s="142"/>
      <x:c r="I234" s="142"/>
      <x:c r="J234" s="142"/>
      <x:c r="K234" s="142"/>
      <x:c r="L234" s="142"/>
      <x:c r="M234" s="226"/>
      <x:c r="N234" s="226"/>
      <x:c r="O234" s="232" t="str">
        <x:f>IF(A234="","",M234-N234)</x:f>
      </x:c>
      <x:c r="P234" s="220"/>
      <x:c r="Q234" s="232" t="str">
        <x:f>IF(A234="","",O234*P234)</x:f>
      </x:c>
      <x:c r="R234" s="226"/>
      <x:c r="S234" s="232" t="str">
        <x:f>IF(A234="","",Q234-R234)</x:f>
      </x:c>
      <x:c r="T234" s="208"/>
      <x:c r="U234" s="142"/>
      <x:c r="V234" s="142"/>
      <x:c r="W234" s="142"/>
    </x:row>
    <x:row r="235" ht="19" customHeight="1">
      <x:c r="A235" s="208"/>
      <x:c r="B235" s="208"/>
      <x:c r="C235" s="142"/>
      <x:c r="D235" s="142"/>
      <x:c r="E235" s="142"/>
      <x:c r="F235" s="142"/>
      <x:c r="G235" s="142"/>
      <x:c r="H235" s="142"/>
      <x:c r="I235" s="142"/>
      <x:c r="J235" s="142"/>
      <x:c r="K235" s="142"/>
      <x:c r="L235" s="142"/>
      <x:c r="M235" s="226"/>
      <x:c r="N235" s="226"/>
      <x:c r="O235" s="232" t="str">
        <x:f>IF(A235="","",M235-N235)</x:f>
      </x:c>
      <x:c r="P235" s="220"/>
      <x:c r="Q235" s="232" t="str">
        <x:f>IF(A235="","",O235*P235)</x:f>
      </x:c>
      <x:c r="R235" s="226"/>
      <x:c r="S235" s="232" t="str">
        <x:f>IF(A235="","",Q235-R235)</x:f>
      </x:c>
      <x:c r="T235" s="208"/>
      <x:c r="U235" s="142"/>
      <x:c r="V235" s="142"/>
      <x:c r="W235" s="142"/>
    </x:row>
    <x:row r="236" ht="19" customHeight="1">
      <x:c r="A236" s="208"/>
      <x:c r="B236" s="208"/>
      <x:c r="C236" s="142"/>
      <x:c r="D236" s="142"/>
      <x:c r="E236" s="142"/>
      <x:c r="F236" s="142"/>
      <x:c r="G236" s="142"/>
      <x:c r="H236" s="142"/>
      <x:c r="I236" s="142"/>
      <x:c r="J236" s="142"/>
      <x:c r="K236" s="142"/>
      <x:c r="L236" s="142"/>
      <x:c r="M236" s="226"/>
      <x:c r="N236" s="226"/>
      <x:c r="O236" s="232" t="str">
        <x:f>IF(A236="","",M236-N236)</x:f>
      </x:c>
      <x:c r="P236" s="220"/>
      <x:c r="Q236" s="232" t="str">
        <x:f>IF(A236="","",O236*P236)</x:f>
      </x:c>
      <x:c r="R236" s="226"/>
      <x:c r="S236" s="232" t="str">
        <x:f>IF(A236="","",Q236-R236)</x:f>
      </x:c>
      <x:c r="T236" s="208"/>
      <x:c r="U236" s="142"/>
      <x:c r="V236" s="142"/>
      <x:c r="W236" s="142"/>
    </x:row>
    <x:row r="237" ht="19" customHeight="1">
      <x:c r="A237" s="208"/>
      <x:c r="B237" s="208"/>
      <x:c r="C237" s="142"/>
      <x:c r="D237" s="142"/>
      <x:c r="E237" s="142"/>
      <x:c r="F237" s="142"/>
      <x:c r="G237" s="142"/>
      <x:c r="H237" s="142"/>
      <x:c r="I237" s="142"/>
      <x:c r="J237" s="142"/>
      <x:c r="K237" s="142"/>
      <x:c r="L237" s="142"/>
      <x:c r="M237" s="226"/>
      <x:c r="N237" s="226"/>
      <x:c r="O237" s="232" t="str">
        <x:f>IF(A237="","",M237-N237)</x:f>
      </x:c>
      <x:c r="P237" s="220"/>
      <x:c r="Q237" s="232" t="str">
        <x:f>IF(A237="","",O237*P237)</x:f>
      </x:c>
      <x:c r="R237" s="226"/>
      <x:c r="S237" s="232" t="str">
        <x:f>IF(A237="","",Q237-R237)</x:f>
      </x:c>
      <x:c r="T237" s="208"/>
      <x:c r="U237" s="142"/>
      <x:c r="V237" s="142"/>
      <x:c r="W237" s="142"/>
    </x:row>
    <x:row r="238" ht="19" customHeight="1">
      <x:c r="A238" s="208"/>
      <x:c r="B238" s="208"/>
      <x:c r="C238" s="142"/>
      <x:c r="D238" s="142"/>
      <x:c r="E238" s="142"/>
      <x:c r="F238" s="142"/>
      <x:c r="G238" s="142"/>
      <x:c r="H238" s="142"/>
      <x:c r="I238" s="142"/>
      <x:c r="J238" s="142"/>
      <x:c r="K238" s="142"/>
      <x:c r="L238" s="142"/>
      <x:c r="M238" s="226"/>
      <x:c r="N238" s="226"/>
      <x:c r="O238" s="232" t="str">
        <x:f>IF(A238="","",M238-N238)</x:f>
      </x:c>
      <x:c r="P238" s="220"/>
      <x:c r="Q238" s="232" t="str">
        <x:f>IF(A238="","",O238*P238)</x:f>
      </x:c>
      <x:c r="R238" s="226"/>
      <x:c r="S238" s="232" t="str">
        <x:f>IF(A238="","",Q238-R238)</x:f>
      </x:c>
      <x:c r="T238" s="208"/>
      <x:c r="U238" s="142"/>
      <x:c r="V238" s="142"/>
      <x:c r="W238" s="142"/>
    </x:row>
    <x:row r="239" ht="19" customHeight="1">
      <x:c r="A239" s="208"/>
      <x:c r="B239" s="208"/>
      <x:c r="C239" s="142"/>
      <x:c r="D239" s="142"/>
      <x:c r="E239" s="142"/>
      <x:c r="F239" s="142"/>
      <x:c r="G239" s="142"/>
      <x:c r="H239" s="142"/>
      <x:c r="I239" s="142"/>
      <x:c r="J239" s="142"/>
      <x:c r="K239" s="142"/>
      <x:c r="L239" s="142"/>
      <x:c r="M239" s="226"/>
      <x:c r="N239" s="226"/>
      <x:c r="O239" s="232" t="str">
        <x:f>IF(A239="","",M239-N239)</x:f>
      </x:c>
      <x:c r="P239" s="220"/>
      <x:c r="Q239" s="232" t="str">
        <x:f>IF(A239="","",O239*P239)</x:f>
      </x:c>
      <x:c r="R239" s="226"/>
      <x:c r="S239" s="232" t="str">
        <x:f>IF(A239="","",Q239-R239)</x:f>
      </x:c>
      <x:c r="T239" s="208"/>
      <x:c r="U239" s="142"/>
      <x:c r="V239" s="142"/>
      <x:c r="W239" s="142"/>
    </x:row>
    <x:row r="240" ht="19" customHeight="1">
      <x:c r="A240" s="208"/>
      <x:c r="B240" s="208"/>
      <x:c r="C240" s="142"/>
      <x:c r="D240" s="142"/>
      <x:c r="E240" s="142"/>
      <x:c r="F240" s="142"/>
      <x:c r="G240" s="142"/>
      <x:c r="H240" s="142"/>
      <x:c r="I240" s="142"/>
      <x:c r="J240" s="142"/>
      <x:c r="K240" s="142"/>
      <x:c r="L240" s="142"/>
      <x:c r="M240" s="226"/>
      <x:c r="N240" s="226"/>
      <x:c r="O240" s="232" t="str">
        <x:f>IF(A240="","",M240-N240)</x:f>
      </x:c>
      <x:c r="P240" s="220"/>
      <x:c r="Q240" s="232" t="str">
        <x:f>IF(A240="","",O240*P240)</x:f>
      </x:c>
      <x:c r="R240" s="226"/>
      <x:c r="S240" s="232" t="str">
        <x:f>IF(A240="","",Q240-R240)</x:f>
      </x:c>
      <x:c r="T240" s="208"/>
      <x:c r="U240" s="142"/>
      <x:c r="V240" s="142"/>
      <x:c r="W240" s="142"/>
    </x:row>
    <x:row r="241" ht="19" customHeight="1">
      <x:c r="A241" s="208"/>
      <x:c r="B241" s="208"/>
      <x:c r="C241" s="142"/>
      <x:c r="D241" s="142"/>
      <x:c r="E241" s="142"/>
      <x:c r="F241" s="142"/>
      <x:c r="G241" s="142"/>
      <x:c r="H241" s="142"/>
      <x:c r="I241" s="142"/>
      <x:c r="J241" s="142"/>
      <x:c r="K241" s="142"/>
      <x:c r="L241" s="142"/>
      <x:c r="M241" s="226"/>
      <x:c r="N241" s="226"/>
      <x:c r="O241" s="232" t="str">
        <x:f>IF(A241="","",M241-N241)</x:f>
      </x:c>
      <x:c r="P241" s="220"/>
      <x:c r="Q241" s="232" t="str">
        <x:f>IF(A241="","",O241*P241)</x:f>
      </x:c>
      <x:c r="R241" s="226"/>
      <x:c r="S241" s="232" t="str">
        <x:f>IF(A241="","",Q241-R241)</x:f>
      </x:c>
      <x:c r="T241" s="208"/>
      <x:c r="U241" s="142"/>
      <x:c r="V241" s="142"/>
      <x:c r="W241" s="142"/>
    </x:row>
    <x:row r="242" ht="19" customHeight="1">
      <x:c r="A242" s="208"/>
      <x:c r="B242" s="208"/>
      <x:c r="C242" s="142"/>
      <x:c r="D242" s="142"/>
      <x:c r="E242" s="142"/>
      <x:c r="F242" s="142"/>
      <x:c r="G242" s="142"/>
      <x:c r="H242" s="142"/>
      <x:c r="I242" s="142"/>
      <x:c r="J242" s="142"/>
      <x:c r="K242" s="142"/>
      <x:c r="L242" s="142"/>
      <x:c r="M242" s="226"/>
      <x:c r="N242" s="226"/>
      <x:c r="O242" s="232" t="str">
        <x:f>IF(A242="","",M242-N242)</x:f>
      </x:c>
      <x:c r="P242" s="220"/>
      <x:c r="Q242" s="232" t="str">
        <x:f>IF(A242="","",O242*P242)</x:f>
      </x:c>
      <x:c r="R242" s="226"/>
      <x:c r="S242" s="232" t="str">
        <x:f>IF(A242="","",Q242-R242)</x:f>
      </x:c>
      <x:c r="T242" s="208"/>
      <x:c r="U242" s="142"/>
      <x:c r="V242" s="142"/>
      <x:c r="W242" s="142"/>
    </x:row>
    <x:row r="243" ht="19" customHeight="1">
      <x:c r="A243" s="208"/>
      <x:c r="B243" s="208"/>
      <x:c r="C243" s="142"/>
      <x:c r="D243" s="142"/>
      <x:c r="E243" s="142"/>
      <x:c r="F243" s="142"/>
      <x:c r="G243" s="142"/>
      <x:c r="H243" s="142"/>
      <x:c r="I243" s="142"/>
      <x:c r="J243" s="142"/>
      <x:c r="K243" s="142"/>
      <x:c r="L243" s="142"/>
      <x:c r="M243" s="226"/>
      <x:c r="N243" s="226"/>
      <x:c r="O243" s="232" t="str">
        <x:f>IF(A243="","",M243-N243)</x:f>
      </x:c>
      <x:c r="P243" s="220"/>
      <x:c r="Q243" s="232" t="str">
        <x:f>IF(A243="","",O243*P243)</x:f>
      </x:c>
      <x:c r="R243" s="226"/>
      <x:c r="S243" s="232" t="str">
        <x:f>IF(A243="","",Q243-R243)</x:f>
      </x:c>
      <x:c r="T243" s="208"/>
      <x:c r="U243" s="142"/>
      <x:c r="V243" s="142"/>
      <x:c r="W243" s="142"/>
    </x:row>
    <x:row r="244" ht="19" customHeight="1">
      <x:c r="A244" s="208"/>
      <x:c r="B244" s="208"/>
      <x:c r="C244" s="142"/>
      <x:c r="D244" s="142"/>
      <x:c r="E244" s="142"/>
      <x:c r="F244" s="142"/>
      <x:c r="G244" s="142"/>
      <x:c r="H244" s="142"/>
      <x:c r="I244" s="142"/>
      <x:c r="J244" s="142"/>
      <x:c r="K244" s="142"/>
      <x:c r="L244" s="142"/>
      <x:c r="M244" s="226"/>
      <x:c r="N244" s="226"/>
      <x:c r="O244" s="232" t="str">
        <x:f>IF(A244="","",M244-N244)</x:f>
      </x:c>
      <x:c r="P244" s="220"/>
      <x:c r="Q244" s="232" t="str">
        <x:f>IF(A244="","",O244*P244)</x:f>
      </x:c>
      <x:c r="R244" s="226"/>
      <x:c r="S244" s="232" t="str">
        <x:f>IF(A244="","",Q244-R244)</x:f>
      </x:c>
      <x:c r="T244" s="208"/>
      <x:c r="U244" s="142"/>
      <x:c r="V244" s="142"/>
      <x:c r="W244" s="142"/>
    </x:row>
    <x:row r="245" ht="19" customHeight="1">
      <x:c r="A245" s="208"/>
      <x:c r="B245" s="208"/>
      <x:c r="C245" s="142"/>
      <x:c r="D245" s="142"/>
      <x:c r="E245" s="142"/>
      <x:c r="F245" s="142"/>
      <x:c r="G245" s="142"/>
      <x:c r="H245" s="142"/>
      <x:c r="I245" s="142"/>
      <x:c r="J245" s="142"/>
      <x:c r="K245" s="142"/>
      <x:c r="L245" s="142"/>
      <x:c r="M245" s="226"/>
      <x:c r="N245" s="226"/>
      <x:c r="O245" s="232" t="str">
        <x:f>IF(A245="","",M245-N245)</x:f>
      </x:c>
      <x:c r="P245" s="220"/>
      <x:c r="Q245" s="232" t="str">
        <x:f>IF(A245="","",O245*P245)</x:f>
      </x:c>
      <x:c r="R245" s="226"/>
      <x:c r="S245" s="232" t="str">
        <x:f>IF(A245="","",Q245-R245)</x:f>
      </x:c>
      <x:c r="T245" s="208"/>
      <x:c r="U245" s="142"/>
      <x:c r="V245" s="142"/>
      <x:c r="W245" s="142"/>
    </x:row>
    <x:row r="246" ht="19" customHeight="1">
      <x:c r="A246" s="208"/>
      <x:c r="B246" s="208"/>
      <x:c r="C246" s="142"/>
      <x:c r="D246" s="142"/>
      <x:c r="E246" s="142"/>
      <x:c r="F246" s="142"/>
      <x:c r="G246" s="142"/>
      <x:c r="H246" s="142"/>
      <x:c r="I246" s="142"/>
      <x:c r="J246" s="142"/>
      <x:c r="K246" s="142"/>
      <x:c r="L246" s="142"/>
      <x:c r="M246" s="226"/>
      <x:c r="N246" s="226"/>
      <x:c r="O246" s="232" t="str">
        <x:f>IF(A246="","",M246-N246)</x:f>
      </x:c>
      <x:c r="P246" s="220"/>
      <x:c r="Q246" s="232" t="str">
        <x:f>IF(A246="","",O246*P246)</x:f>
      </x:c>
      <x:c r="R246" s="226"/>
      <x:c r="S246" s="232" t="str">
        <x:f>IF(A246="","",Q246-R246)</x:f>
      </x:c>
      <x:c r="T246" s="208"/>
      <x:c r="U246" s="142"/>
      <x:c r="V246" s="142"/>
      <x:c r="W246" s="142"/>
    </x:row>
    <x:row r="247" ht="19" customHeight="1">
      <x:c r="A247" s="208"/>
      <x:c r="B247" s="208"/>
      <x:c r="C247" s="142"/>
      <x:c r="D247" s="142"/>
      <x:c r="E247" s="142"/>
      <x:c r="F247" s="142"/>
      <x:c r="G247" s="142"/>
      <x:c r="H247" s="142"/>
      <x:c r="I247" s="142"/>
      <x:c r="J247" s="142"/>
      <x:c r="K247" s="142"/>
      <x:c r="L247" s="142"/>
      <x:c r="M247" s="226"/>
      <x:c r="N247" s="226"/>
      <x:c r="O247" s="232" t="str">
        <x:f>IF(A247="","",M247-N247)</x:f>
      </x:c>
      <x:c r="P247" s="220"/>
      <x:c r="Q247" s="232" t="str">
        <x:f>IF(A247="","",O247*P247)</x:f>
      </x:c>
      <x:c r="R247" s="226"/>
      <x:c r="S247" s="232" t="str">
        <x:f>IF(A247="","",Q247-R247)</x:f>
      </x:c>
      <x:c r="T247" s="208"/>
      <x:c r="U247" s="142"/>
      <x:c r="V247" s="142"/>
      <x:c r="W247" s="142"/>
    </x:row>
    <x:row r="248" ht="19" customHeight="1">
      <x:c r="A248" s="208"/>
      <x:c r="B248" s="208"/>
      <x:c r="C248" s="142"/>
      <x:c r="D248" s="142"/>
      <x:c r="E248" s="142"/>
      <x:c r="F248" s="142"/>
      <x:c r="G248" s="142"/>
      <x:c r="H248" s="142"/>
      <x:c r="I248" s="142"/>
      <x:c r="J248" s="142"/>
      <x:c r="K248" s="142"/>
      <x:c r="L248" s="142"/>
      <x:c r="M248" s="226"/>
      <x:c r="N248" s="226"/>
      <x:c r="O248" s="232" t="str">
        <x:f>IF(A248="","",M248-N248)</x:f>
      </x:c>
      <x:c r="P248" s="220"/>
      <x:c r="Q248" s="232" t="str">
        <x:f>IF(A248="","",O248*P248)</x:f>
      </x:c>
      <x:c r="R248" s="226"/>
      <x:c r="S248" s="232" t="str">
        <x:f>IF(A248="","",Q248-R248)</x:f>
      </x:c>
      <x:c r="T248" s="208"/>
      <x:c r="U248" s="142"/>
      <x:c r="V248" s="142"/>
      <x:c r="W248" s="142"/>
    </x:row>
    <x:row r="249" ht="19" customHeight="1">
      <x:c r="A249" s="208"/>
      <x:c r="B249" s="208"/>
      <x:c r="C249" s="142"/>
      <x:c r="D249" s="142"/>
      <x:c r="E249" s="142"/>
      <x:c r="F249" s="142"/>
      <x:c r="G249" s="142"/>
      <x:c r="H249" s="142"/>
      <x:c r="I249" s="142"/>
      <x:c r="J249" s="142"/>
      <x:c r="K249" s="142"/>
      <x:c r="L249" s="142"/>
      <x:c r="M249" s="226"/>
      <x:c r="N249" s="226"/>
      <x:c r="O249" s="232" t="str">
        <x:f>IF(A249="","",M249-N249)</x:f>
      </x:c>
      <x:c r="P249" s="220"/>
      <x:c r="Q249" s="232" t="str">
        <x:f>IF(A249="","",O249*P249)</x:f>
      </x:c>
      <x:c r="R249" s="226"/>
      <x:c r="S249" s="232" t="str">
        <x:f>IF(A249="","",Q249-R249)</x:f>
      </x:c>
      <x:c r="T249" s="208"/>
      <x:c r="U249" s="142"/>
      <x:c r="V249" s="142"/>
      <x:c r="W249" s="142"/>
    </x:row>
    <x:row r="250" ht="19" customHeight="1">
      <x:c r="A250" s="208"/>
      <x:c r="B250" s="208"/>
      <x:c r="C250" s="142"/>
      <x:c r="D250" s="142"/>
      <x:c r="E250" s="142"/>
      <x:c r="F250" s="142"/>
      <x:c r="G250" s="142"/>
      <x:c r="H250" s="142"/>
      <x:c r="I250" s="142"/>
      <x:c r="J250" s="142"/>
      <x:c r="K250" s="142"/>
      <x:c r="L250" s="142"/>
      <x:c r="M250" s="226"/>
      <x:c r="N250" s="226"/>
      <x:c r="O250" s="232" t="str">
        <x:f>IF(A250="","",M250-N250)</x:f>
      </x:c>
      <x:c r="P250" s="220"/>
      <x:c r="Q250" s="232" t="str">
        <x:f>IF(A250="","",O250*P250)</x:f>
      </x:c>
      <x:c r="R250" s="226"/>
      <x:c r="S250" s="232" t="str">
        <x:f>IF(A250="","",Q250-R250)</x:f>
      </x:c>
      <x:c r="T250" s="208"/>
      <x:c r="U250" s="142"/>
      <x:c r="V250" s="142"/>
      <x:c r="W250" s="142"/>
    </x:row>
    <x:row r="251" ht="19" customHeight="1">
      <x:c r="A251" s="208"/>
      <x:c r="B251" s="208"/>
      <x:c r="C251" s="142"/>
      <x:c r="D251" s="142"/>
      <x:c r="E251" s="142"/>
      <x:c r="F251" s="142"/>
      <x:c r="G251" s="142"/>
      <x:c r="H251" s="142"/>
      <x:c r="I251" s="142"/>
      <x:c r="J251" s="142"/>
      <x:c r="K251" s="142"/>
      <x:c r="L251" s="142"/>
      <x:c r="M251" s="226"/>
      <x:c r="N251" s="226"/>
      <x:c r="O251" s="232" t="str">
        <x:f>IF(A251="","",M251-N251)</x:f>
      </x:c>
      <x:c r="P251" s="220"/>
      <x:c r="Q251" s="232" t="str">
        <x:f>IF(A251="","",O251*P251)</x:f>
      </x:c>
      <x:c r="R251" s="226"/>
      <x:c r="S251" s="232" t="str">
        <x:f>IF(A251="","",Q251-R251)</x:f>
      </x:c>
      <x:c r="T251" s="208"/>
      <x:c r="U251" s="142"/>
      <x:c r="V251" s="142"/>
      <x:c r="W251" s="142"/>
    </x:row>
    <x:row r="252" ht="19" customHeight="1">
      <x:c r="A252" s="208"/>
      <x:c r="B252" s="208"/>
      <x:c r="C252" s="142"/>
      <x:c r="D252" s="142"/>
      <x:c r="E252" s="142"/>
      <x:c r="F252" s="142"/>
      <x:c r="G252" s="142"/>
      <x:c r="H252" s="142"/>
      <x:c r="I252" s="142"/>
      <x:c r="J252" s="142"/>
      <x:c r="K252" s="142"/>
      <x:c r="L252" s="142"/>
      <x:c r="M252" s="226"/>
      <x:c r="N252" s="226"/>
      <x:c r="O252" s="232" t="str">
        <x:f>IF(A252="","",M252-N252)</x:f>
      </x:c>
      <x:c r="P252" s="220"/>
      <x:c r="Q252" s="232" t="str">
        <x:f>IF(A252="","",O252*P252)</x:f>
      </x:c>
      <x:c r="R252" s="226"/>
      <x:c r="S252" s="232" t="str">
        <x:f>IF(A252="","",Q252-R252)</x:f>
      </x:c>
      <x:c r="T252" s="208"/>
      <x:c r="U252" s="142"/>
      <x:c r="V252" s="142"/>
      <x:c r="W252" s="142"/>
    </x:row>
    <x:row r="253" ht="19" customHeight="1">
      <x:c r="A253" s="208"/>
      <x:c r="B253" s="208"/>
      <x:c r="C253" s="142"/>
      <x:c r="D253" s="142"/>
      <x:c r="E253" s="142"/>
      <x:c r="F253" s="142"/>
      <x:c r="G253" s="142"/>
      <x:c r="H253" s="142"/>
      <x:c r="I253" s="142"/>
      <x:c r="J253" s="142"/>
      <x:c r="K253" s="142"/>
      <x:c r="L253" s="142"/>
      <x:c r="M253" s="226"/>
      <x:c r="N253" s="226"/>
      <x:c r="O253" s="232" t="str">
        <x:f>IF(A253="","",M253-N253)</x:f>
      </x:c>
      <x:c r="P253" s="220"/>
      <x:c r="Q253" s="232" t="str">
        <x:f>IF(A253="","",O253*P253)</x:f>
      </x:c>
      <x:c r="R253" s="226"/>
      <x:c r="S253" s="232" t="str">
        <x:f>IF(A253="","",Q253-R253)</x:f>
      </x:c>
      <x:c r="T253" s="208"/>
      <x:c r="U253" s="142"/>
      <x:c r="V253" s="142"/>
      <x:c r="W253" s="142"/>
    </x:row>
    <x:row r="254" ht="19" customHeight="1">
      <x:c r="A254" s="209"/>
      <x:c r="B254" s="209"/>
      <x:c r="C254" s="143"/>
      <x:c r="D254" s="143"/>
      <x:c r="E254" s="143"/>
      <x:c r="F254" s="143"/>
      <x:c r="G254" s="143"/>
      <x:c r="H254" s="143"/>
      <x:c r="I254" s="143"/>
      <x:c r="J254" s="143"/>
      <x:c r="K254" s="143"/>
      <x:c r="L254" s="143"/>
      <x:c r="M254" s="227"/>
      <x:c r="N254" s="227"/>
      <x:c r="O254" s="233" t="str">
        <x:f>IF(A254="","",M254-N254)</x:f>
      </x:c>
      <x:c r="P254" s="221"/>
      <x:c r="Q254" s="233" t="str">
        <x:f>IF(A254="","",O254*P254)</x:f>
      </x:c>
      <x:c r="R254" s="227"/>
      <x:c r="S254" s="233" t="str">
        <x:f>IF(A254="","",Q254-R254)</x:f>
      </x:c>
      <x:c r="T254" s="209"/>
      <x:c r="U254" s="143"/>
      <x:c r="V254" s="143"/>
      <x:c r="W254" s="143"/>
    </x:row>
  </x:sheetData>
  <x:mergeCells>
    <x:mergeCell ref="A1:W1"/>
    <x:mergeCell ref="A2:W2"/>
  </x:mergeCells>
  <x:conditionalFormatting sqref="S5:S254">
    <x:cfRule type="expression" dxfId="10" priority="1">
      <x:formula>S5&lt;&gt;0</x:formula>
    </x:cfRule>
  </x:conditionalFormatting>
  <x:conditionalFormatting sqref="U5:U254">
    <x:cfRule type="expression" dxfId="11" priority="2">
      <x:formula>U5="Conciliado"</x:formula>
    </x:cfRule>
  </x:conditionalFormatting>
  <x:dataValidations count="2">
    <x:dataValidation type="list" sqref="D5:D254">
      <x:formula1>"Master/Streaming,Execução Pública,Publishing,Mecânico Digital,UGC/Content ID,Sincronização,Licenciamento,Outro"</x:formula1>
    </x:dataValidation>
    <x:dataValidation type="list" sqref="U5:U254">
      <x:formula1>"Pendente,Conciliado,Diferença a apurar,Retido/Glosado,Sem documento,Pago parcialmente"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e65e15cd7f489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38" hidden="0" customWidth="1"/>
    <x:col min="5" max="5" width="18" hidden="0" customWidth="1"/>
    <x:col min="6" max="6" width="55" hidden="0" customWidth="1"/>
  </x:cols>
  <x:sheetData>
    <x:row r="1" ht="30" customHeight="1">
      <x:c r="A1" s="5" t="str">
        <x:v>DASHBOARD — CONTROLE DO CATÁLOGO E PRONTIDÃO OPERACIONAL</x:v>
      </x:c>
    </x:row>
    <x:row r="2" ht="34" customHeight="1">
      <x:c r="A2" s="14" t="str">
        <x:v>Indicadores atualizados automaticamente a partir das abas de cadastro. Preencha a base e acompanhe pendências antes de enviar dados a terceiros.</x:v>
      </x:c>
    </x:row>
    <x:row r="4" ht="22" customHeight="1">
      <x:c r="A4" s="22" t="str">
        <x:v>INDICADORES DO CATÁLOGO</x:v>
      </x:c>
      <x:c r="E4" s="22" t="str">
        <x:v>ROTINA DE CONFERÊNCIA</x:v>
      </x:c>
    </x:row>
    <x:row r="5" ht="26" customHeight="1">
      <x:c r="A5" s="40" t="str">
        <x:v>Fonogramas cadastrados</x:v>
      </x:c>
      <x:c r="B5" s="245" t="n">
        <x:f>COUNTA(FONOGRAMAS!$A$5:$A$254)</x:f>
        <x:v>0</x:v>
      </x:c>
      <x:c r="C5" s="41" t="str">
        <x:v>Quantidade de linhas com ID Fonograma</x:v>
      </x:c>
      <x:c r="E5" s="40" t="str">
        <x:v>Semanal</x:v>
      </x:c>
      <x:c r="F5" s="41" t="str">
        <x:v>Conferir novos lançamentos, ISRCs, títulos, artistas e links de contrato.</x:v>
      </x:c>
    </x:row>
    <x:row r="6" ht="26" customHeight="1">
      <x:c r="A6" s="42" t="str">
        <x:v>Fonogramas com ISRC</x:v>
      </x:c>
      <x:c r="B6" s="240" t="n">
        <x:f>COUNTIF(FONOGRAMAS!$B$5:$B$254,"&lt;&gt;")</x:f>
        <x:v>0</x:v>
      </x:c>
      <x:c r="C6" s="43" t="str">
        <x:v>ISRC preenchido</x:v>
      </x:c>
      <x:c r="E6" s="42" t="str">
        <x:v>Mensal</x:v>
      </x:c>
      <x:c r="F6" s="43" t="str">
        <x:v>Atualizar a situação RDx, revisar retornos, conflitos e status de cadastro.</x:v>
      </x:c>
    </x:row>
    <x:row r="7" ht="26" customHeight="1">
      <x:c r="A7" s="42" t="str">
        <x:v>Fonogramas prontos para RDx</x:v>
      </x:c>
      <x:c r="B7" s="240" t="n">
        <x:f>COUNTIF(FONOGRAMAS!$AB$5:$AB$254,"PRONTO")</x:f>
        <x:v>0</x:v>
      </x:c>
      <x:c r="C7" s="43" t="str">
        <x:v>Metadados mínimos completos</x:v>
      </x:c>
      <x:c r="E7" s="42" t="str">
        <x:v>Trimestral</x:v>
      </x:c>
      <x:c r="F7" s="43" t="str">
        <x:v>Conciliar os reports de plataformas, distribuidoras, Ecad/Abramus e editoras.</x:v>
      </x:c>
    </x:row>
    <x:row r="8" ht="26" customHeight="1">
      <x:c r="A8" s="42" t="str">
        <x:v>Fonogramas pendentes para RDx</x:v>
      </x:c>
      <x:c r="B8" s="240" t="n">
        <x:f>COUNTIF(FONOGRAMAS!$AB$5:$AB$254,"PENDENTE")</x:f>
        <x:v>0</x:v>
      </x:c>
      <x:c r="C8" s="43" t="str">
        <x:v>Aguardam preenchimento</x:v>
      </x:c>
      <x:c r="E8" s="44" t="str">
        <x:v>Anual</x:v>
      </x:c>
      <x:c r="F8" s="45" t="str">
        <x:v>Revalidar mandatos, contratos vigentes, percentuais e dados de contato dos titulares.</x:v>
      </x:c>
    </x:row>
    <x:row r="9" ht="26" customHeight="1">
      <x:c r="A9" s="42" t="str">
        <x:v>Obras cadastradas</x:v>
      </x:c>
      <x:c r="B9" s="240" t="n">
        <x:f>COUNTA(OBRAS!$A$5:$A$254)</x:f>
        <x:v>0</x:v>
      </x:c>
      <x:c r="C9" s="43" t="str">
        <x:v>Quantidade de linhas com ID Obra</x:v>
      </x:c>
    </x:row>
    <x:row r="10" ht="26" customHeight="1">
      <x:c r="A10" s="42" t="str">
        <x:v>Obras com split validado</x:v>
      </x:c>
      <x:c r="B10" s="240" t="n">
        <x:f>COUNTIF(OBRAS!$O$5:$O$254,"OK 100%")</x:f>
        <x:v>0</x:v>
      </x:c>
      <x:c r="C10" s="43" t="str">
        <x:v>Participações totalizam 100%</x:v>
      </x:c>
    </x:row>
    <x:row r="11" ht="26" customHeight="1">
      <x:c r="A11" s="42" t="str">
        <x:v>Contratos ativos</x:v>
      </x:c>
      <x:c r="B11" s="240" t="n">
        <x:f>COUNTIF('CONTRATOS &amp; DIREITOS'!$M$5:$M$254,"Ativo")</x:f>
        <x:v>0</x:v>
      </x:c>
      <x:c r="C11" s="43" t="str">
        <x:v>Vigência atual</x:v>
      </x:c>
    </x:row>
    <x:row r="12" ht="26" customHeight="1">
      <x:c r="A12" s="44" t="str">
        <x:v>Lançamentos com diferença a apurar</x:v>
      </x:c>
      <x:c r="B12" s="246" t="n">
        <x:f>COUNTIF('ROYALTIES &amp; AUDITORIA'!$U$5:$U$254,"Diferença a apurar")</x:f>
        <x:v>0</x:v>
      </x:c>
      <x:c r="C12" s="45" t="str">
        <x:v>Necessitam conferência financeira</x:v>
      </x:c>
    </x:row>
    <x:row r="15" ht="22" customHeight="1">
      <x:c r="A15" s="22" t="str">
        <x:v>STATUS RDx</x:v>
      </x:c>
    </x:row>
    <x:row r="16" ht="22" customHeight="1">
      <x:c r="A16" s="40" t="str">
        <x:v>Não iniciado</x:v>
      </x:c>
      <x:c r="B16" s="253" t="n">
        <x:f>COUNTIF(FONOGRAMAS!$AA$5:$AA$254,"Não iniciado")</x:f>
        <x:v>0</x:v>
      </x:c>
    </x:row>
    <x:row r="17" ht="22" customHeight="1">
      <x:c r="A17" s="42" t="str">
        <x:v>Em preparação</x:v>
      </x:c>
      <x:c r="B17" s="254" t="n">
        <x:f>COUNTIF(FONOGRAMAS!$AA$5:$AA$254,"Em preparação")</x:f>
        <x:v>0</x:v>
      </x:c>
    </x:row>
    <x:row r="18" ht="22" customHeight="1">
      <x:c r="A18" s="42" t="str">
        <x:v>Pronto para envio</x:v>
      </x:c>
      <x:c r="B18" s="254" t="n">
        <x:f>COUNTIF(FONOGRAMAS!$AA$5:$AA$254,"Pronto para envio")</x:f>
        <x:v>0</x:v>
      </x:c>
    </x:row>
    <x:row r="19" ht="22" customHeight="1">
      <x:c r="A19" s="42" t="str">
        <x:v>Enviado</x:v>
      </x:c>
      <x:c r="B19" s="254" t="n">
        <x:f>COUNTIF(FONOGRAMAS!$AA$5:$AA$254,"Enviado")</x:f>
        <x:v>0</x:v>
      </x:c>
    </x:row>
    <x:row r="20" ht="22" customHeight="1">
      <x:c r="A20" s="42" t="str">
        <x:v>Retorno pendente</x:v>
      </x:c>
      <x:c r="B20" s="254" t="n">
        <x:f>COUNTIF(FONOGRAMAS!$AA$5:$AA$254,"Retorno pendente")</x:f>
        <x:v>0</x:v>
      </x:c>
    </x:row>
    <x:row r="21" ht="22" customHeight="1">
      <x:c r="A21" s="42" t="str">
        <x:v>Conflito</x:v>
      </x:c>
      <x:c r="B21" s="254" t="n">
        <x:f>COUNTIF(FONOGRAMAS!$AA$5:$AA$254,"Conflito")</x:f>
        <x:v>0</x:v>
      </x:c>
    </x:row>
    <x:row r="22" ht="22" customHeight="1">
      <x:c r="A22" s="44" t="str">
        <x:v>Produção</x:v>
      </x:c>
      <x:c r="B22" s="255" t="n">
        <x:f>COUNTIF(FONOGRAMAS!$AA$5:$AA$254,"Produção")</x:f>
        <x:v>0</x:v>
      </x:c>
    </x:row>
  </x:sheetData>
  <x:mergeCells>
    <x:mergeCell ref="A1:J1"/>
    <x:mergeCell ref="A2:J2"/>
    <x:mergeCell ref="A4:D4"/>
    <x:mergeCell ref="A15:D15"/>
    <x:mergeCell ref="E4:J4"/>
  </x:mergeCells>
  <x:pageMargins left="0.7" right="0.7" top="0.75" bottom="0.75" header="0.3" footer="0.3"/>
  <x:drawing xmlns:r="http://schemas.openxmlformats.org/officeDocument/2006/relationships" r:id="Rc11b0362c31146ab"/>
</x:worksheet>
</file>